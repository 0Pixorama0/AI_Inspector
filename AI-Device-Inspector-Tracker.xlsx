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Task Tracker" sheetId="3" state="visible" r:id="rId3"/>
    <sheet xmlns:r="http://schemas.openxmlformats.org/officeDocument/2006/relationships" name="Milestones" sheetId="4" state="visible" r:id="rId4"/>
  </sheets>
  <definedNames>
    <definedName name="_xlnm._FilterDatabase" localSheetId="2" hidden="1">'Task Tracker'!$A$1:$M$64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name val="Arial"/>
      <b val="1"/>
      <color rgb="006A6C83"/>
      <sz val="9"/>
    </font>
    <font>
      <name val="Arial"/>
      <b val="1"/>
      <color rgb="00FFFFFF"/>
      <sz val="10"/>
    </font>
    <font>
      <name val="Arial"/>
      <color rgb="001A1B2E"/>
      <sz val="10"/>
    </font>
    <font>
      <name val="Arial"/>
      <b val="1"/>
      <color rgb="007C3AED"/>
      <sz val="10"/>
    </font>
    <font>
      <name val="Arial"/>
      <i val="1"/>
      <color rgb="006A6C83"/>
      <sz val="10"/>
    </font>
    <font>
      <name val="Arial"/>
      <b val="1"/>
      <color rgb="003A33C9"/>
      <sz val="10"/>
    </font>
    <font>
      <name val="Arial"/>
      <b val="1"/>
      <color rgb="001A1B2E"/>
      <sz val="10"/>
    </font>
    <font>
      <name val="Arial"/>
      <b val="1"/>
      <color rgb="007C3AED"/>
      <sz val="18"/>
    </font>
    <font>
      <name val="Arial"/>
      <b val="1"/>
      <color rgb="007C3AED"/>
      <sz val="14"/>
    </font>
    <font>
      <name val="Arial"/>
      <b val="1"/>
      <color rgb="000E9AAC"/>
      <sz val="14"/>
    </font>
    <font>
      <name val="Arial"/>
      <b val="1"/>
      <color rgb="003A33C9"/>
      <sz val="14"/>
    </font>
    <font>
      <name val="Arial"/>
      <b val="1"/>
      <color rgb="00B7791F"/>
      <sz val="14"/>
    </font>
    <font>
      <name val="Arial"/>
      <b val="1"/>
      <color rgb="00C00000"/>
      <sz val="14"/>
    </font>
    <font>
      <name val="Arial"/>
      <b val="1"/>
      <color rgb="006A6C83"/>
      <sz val="14"/>
    </font>
    <font>
      <name val="Arial"/>
      <b val="1"/>
      <color rgb="006A6C83"/>
      <sz val="12"/>
    </font>
    <font>
      <name val="Arial"/>
      <b val="1"/>
      <color rgb="001A1B2E"/>
      <sz val="11"/>
    </font>
    <font>
      <name val="Arial"/>
      <b val="1"/>
      <color rgb="00FFFFFF"/>
      <sz val="9"/>
    </font>
    <font>
      <name val="Arial"/>
      <color rgb="001A1B2E"/>
      <sz val="9"/>
    </font>
    <font>
      <name val="Arial"/>
      <b val="1"/>
      <color rgb="007C3AED"/>
      <sz val="9"/>
    </font>
    <font>
      <name val="Arial"/>
      <color rgb="006A6C83"/>
      <sz val="9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3A33C9"/>
      </patternFill>
    </fill>
  </fills>
  <borders count="4">
    <border>
      <left/>
      <right/>
      <top/>
      <bottom/>
      <diagonal/>
    </border>
    <border>
      <left style="thin">
        <color rgb="00D9DCEA"/>
      </left>
      <right style="thin">
        <color rgb="00D9DCEA"/>
      </right>
      <top style="thin">
        <color rgb="00D9DCEA"/>
      </top>
      <bottom style="thin">
        <color rgb="00D9DCEA"/>
      </bottom>
    </border>
    <border>
      <top style="thin">
        <color rgb="001A1B2E"/>
      </top>
    </border>
    <border>
      <bottom style="thin">
        <color rgb="00D9DCE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16" fillId="0" borderId="0" pivotButton="0" quotePrefix="0" xfId="0"/>
    <xf numFmtId="0" fontId="3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  <xf numFmtId="9" fontId="0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7" fillId="0" borderId="0" pivotButton="0" quotePrefix="0" xfId="0"/>
    <xf numFmtId="9" fontId="9" fillId="0" borderId="0" applyAlignment="1" pivotButton="0" quotePrefix="0" xfId="0">
      <alignment horizontal="center" vertical="center"/>
    </xf>
    <xf numFmtId="9" fontId="15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3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9" fontId="3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/>
    </xf>
    <xf numFmtId="9" fontId="7" fillId="0" borderId="2" pivotButton="0" quotePrefix="0" xfId="0"/>
  </cellXfs>
  <cellStyles count="1">
    <cellStyle name="Normal" xfId="0" builtinId="0" hidden="0"/>
  </cellStyles>
  <dxfs count="6">
    <dxf>
      <fill>
        <patternFill patternType="solid">
          <fgColor rgb="00D6F3E4"/>
        </patternFill>
      </fill>
    </dxf>
    <dxf>
      <fill>
        <patternFill patternType="solid">
          <fgColor rgb="00D7E8FB"/>
        </patternFill>
      </fill>
    </dxf>
    <dxf>
      <fill>
        <patternFill patternType="solid">
          <fgColor rgb="00FBD9D9"/>
        </patternFill>
      </fill>
    </dxf>
    <dxf>
      <fill>
        <patternFill patternType="solid">
          <fgColor rgb="00FCEFCD"/>
        </patternFill>
      </fill>
    </dxf>
    <dxf>
      <fill>
        <patternFill patternType="solid">
          <fgColor rgb="00ECEDF3"/>
        </patternFill>
      </fill>
    </dxf>
    <dxf>
      <font>
        <name val="Arial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'Dashboard'!$L$6:$L$10</f>
            </numRef>
          </cat>
          <val>
            <numRef>
              <f>'Dashboard'!$M$6:$M$10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Tracker</author>
  </authors>
  <commentList>
    <comment ref="A2" authorId="0" shapeId="0">
      <text>
        <t>Example row — overwrite Assignee / dates / Status / % as work begins.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4680000" cy="24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3" customWidth="1" min="5" max="5"/>
    <col width="14" customWidth="1" min="6" max="6"/>
    <col width="9" customWidth="1" min="7" max="7"/>
    <col width="9" customWidth="1" min="8" max="8"/>
    <col width="9" customWidth="1" min="9" max="9"/>
    <col width="10" customWidth="1" min="10" max="10"/>
    <col hidden="1" width="13" customWidth="1" min="12" max="12"/>
    <col hidden="1" width="13" customWidth="1" min="13" max="13"/>
  </cols>
  <sheetData>
    <row r="2">
      <c r="B2" s="1" t="inlineStr">
        <is>
          <t>AI Device Inspector — Delivery Tracker</t>
        </is>
      </c>
    </row>
    <row r="3">
      <c r="B3" s="2" t="inlineStr">
        <is>
          <t>Live view of the developer backlog. Figures update automatically from the Task Tracker sheet.</t>
        </is>
      </c>
    </row>
    <row r="4">
      <c r="F4" s="3" t="inlineStr">
        <is>
          <t>By sprint</t>
        </is>
      </c>
    </row>
    <row r="5">
      <c r="B5" s="4" t="inlineStr">
        <is>
          <t>Total tasks</t>
        </is>
      </c>
      <c r="C5" s="5">
        <f>COUNTIF('Task Tracker'!$A$2:$A$64,"?*")</f>
        <v/>
      </c>
      <c r="F5" s="6" t="inlineStr">
        <is>
          <t>Sprint</t>
        </is>
      </c>
      <c r="G5" s="6" t="inlineStr">
        <is>
          <t>Total</t>
        </is>
      </c>
      <c r="H5" s="6" t="inlineStr">
        <is>
          <t>Done</t>
        </is>
      </c>
      <c r="I5" s="6" t="inlineStr">
        <is>
          <t>%</t>
        </is>
      </c>
      <c r="L5" t="inlineStr">
        <is>
          <t>Status</t>
        </is>
      </c>
      <c r="M5" t="inlineStr">
        <is>
          <t>Count</t>
        </is>
      </c>
    </row>
    <row r="6">
      <c r="B6" s="4" t="inlineStr">
        <is>
          <t>Completed</t>
        </is>
      </c>
      <c r="C6" s="7">
        <f>COUNTIF('Task Tracker'!$K$2:$K$64,"Done")</f>
        <v/>
      </c>
      <c r="F6" s="8" t="inlineStr">
        <is>
          <t>Sprint 1</t>
        </is>
      </c>
      <c r="G6" s="9">
        <f>COUNTIF('Task Tracker'!$E$2:$E$64,"Sprint 1")</f>
        <v/>
      </c>
      <c r="H6" s="9">
        <f>COUNTIFS('Task Tracker'!$E$2:$E$64,"Sprint 1",'Task Tracker'!$K$2:$K$64,"Done")</f>
        <v/>
      </c>
      <c r="I6" s="10">
        <f>IFERROR(H6/G6,0)</f>
        <v/>
      </c>
      <c r="L6" t="inlineStr">
        <is>
          <t>Not Started</t>
        </is>
      </c>
      <c r="M6">
        <f>COUNTIF('Task Tracker'!$K$2:$K$64,"Not Started")</f>
        <v/>
      </c>
    </row>
    <row r="7">
      <c r="B7" s="4" t="inlineStr">
        <is>
          <t>In progress</t>
        </is>
      </c>
      <c r="C7" s="11">
        <f>COUNTIF('Task Tracker'!$K$2:$K$64,"In Progress")</f>
        <v/>
      </c>
      <c r="F7" s="8" t="inlineStr">
        <is>
          <t>Sprint 2</t>
        </is>
      </c>
      <c r="G7" s="9">
        <f>COUNTIF('Task Tracker'!$E$2:$E$64,"Sprint 2")</f>
        <v/>
      </c>
      <c r="H7" s="9">
        <f>COUNTIFS('Task Tracker'!$E$2:$E$64,"Sprint 2",'Task Tracker'!$K$2:$K$64,"Done")</f>
        <v/>
      </c>
      <c r="I7" s="10">
        <f>IFERROR(H7/G7,0)</f>
        <v/>
      </c>
      <c r="L7" t="inlineStr">
        <is>
          <t>In Progress</t>
        </is>
      </c>
      <c r="M7">
        <f>COUNTIF('Task Tracker'!$K$2:$K$64,"In Progress")</f>
        <v/>
      </c>
    </row>
    <row r="8">
      <c r="B8" s="4" t="inlineStr">
        <is>
          <t>In review</t>
        </is>
      </c>
      <c r="C8" s="12">
        <f>COUNTIF('Task Tracker'!$K$2:$K$64,"In Review")</f>
        <v/>
      </c>
      <c r="F8" s="8" t="inlineStr">
        <is>
          <t>Sprint 3</t>
        </is>
      </c>
      <c r="G8" s="9">
        <f>COUNTIF('Task Tracker'!$E$2:$E$64,"Sprint 3")</f>
        <v/>
      </c>
      <c r="H8" s="9">
        <f>COUNTIFS('Task Tracker'!$E$2:$E$64,"Sprint 3",'Task Tracker'!$K$2:$K$64,"Done")</f>
        <v/>
      </c>
      <c r="I8" s="10">
        <f>IFERROR(H8/G8,0)</f>
        <v/>
      </c>
      <c r="L8" t="inlineStr">
        <is>
          <t>Blocked</t>
        </is>
      </c>
      <c r="M8">
        <f>COUNTIF('Task Tracker'!$K$2:$K$64,"Blocked")</f>
        <v/>
      </c>
    </row>
    <row r="9">
      <c r="B9" s="4" t="inlineStr">
        <is>
          <t>Blocked</t>
        </is>
      </c>
      <c r="C9" s="13">
        <f>COUNTIF('Task Tracker'!$K$2:$K$64,"Blocked")</f>
        <v/>
      </c>
      <c r="F9" s="8" t="inlineStr">
        <is>
          <t>Sprint 4</t>
        </is>
      </c>
      <c r="G9" s="9">
        <f>COUNTIF('Task Tracker'!$E$2:$E$64,"Sprint 4")</f>
        <v/>
      </c>
      <c r="H9" s="9">
        <f>COUNTIFS('Task Tracker'!$E$2:$E$64,"Sprint 4",'Task Tracker'!$K$2:$K$64,"Done")</f>
        <v/>
      </c>
      <c r="I9" s="10">
        <f>IFERROR(H9/G9,0)</f>
        <v/>
      </c>
      <c r="L9" t="inlineStr">
        <is>
          <t>In Review</t>
        </is>
      </c>
      <c r="M9">
        <f>COUNTIF('Task Tracker'!$K$2:$K$64,"In Review")</f>
        <v/>
      </c>
    </row>
    <row r="10">
      <c r="B10" s="4" t="inlineStr">
        <is>
          <t>Not started</t>
        </is>
      </c>
      <c r="C10" s="14">
        <f>COUNTIF('Task Tracker'!$K$2:$K$64,"Not Started")</f>
        <v/>
      </c>
      <c r="F10" s="8" t="inlineStr">
        <is>
          <t>Test</t>
        </is>
      </c>
      <c r="G10" s="9">
        <f>COUNTIF('Task Tracker'!$E$2:$E$64,"Test")</f>
        <v/>
      </c>
      <c r="H10" s="9">
        <f>COUNTIFS('Task Tracker'!$E$2:$E$64,"Test",'Task Tracker'!$K$2:$K$64,"Done")</f>
        <v/>
      </c>
      <c r="I10" s="10">
        <f>IFERROR(H10/G10,0)</f>
        <v/>
      </c>
      <c r="L10" t="inlineStr">
        <is>
          <t>Done</t>
        </is>
      </c>
      <c r="M10">
        <f>COUNTIF('Task Tracker'!$K$2:$K$64,"Done")</f>
        <v/>
      </c>
    </row>
    <row r="11">
      <c r="B11" s="15" t="inlineStr">
        <is>
          <t>% complete (effort)</t>
        </is>
      </c>
      <c r="C11" s="16">
        <f>IFERROR(SUMPRODUCT('Task Tracker'!$H$2:$H$64,'Task Tracker'!$L$2:$L$64)/SUM('Task Tracker'!$H$2:$H$64),0)</f>
        <v/>
      </c>
      <c r="F11" s="8" t="inlineStr">
        <is>
          <t>Go-live</t>
        </is>
      </c>
      <c r="G11" s="9">
        <f>COUNTIF('Task Tracker'!$E$2:$E$64,"Go-live")</f>
        <v/>
      </c>
      <c r="H11" s="9">
        <f>COUNTIFS('Task Tracker'!$E$2:$E$64,"Go-live",'Task Tracker'!$K$2:$K$64,"Done")</f>
        <v/>
      </c>
      <c r="I11" s="10">
        <f>IFERROR(H11/G11,0)</f>
        <v/>
      </c>
    </row>
    <row r="12">
      <c r="B12" s="15" t="inlineStr">
        <is>
          <t>% complete (count)</t>
        </is>
      </c>
      <c r="C12" s="17">
        <f>IFERROR(COUNTIF('Task Tracker'!$K$2:$K$64,"Done")/COUNTIF('Task Tracker'!$A$2:$A$64,"?*"),0)</f>
        <v/>
      </c>
    </row>
    <row r="13">
      <c r="F13" s="3" t="inlineStr">
        <is>
          <t>By workstream</t>
        </is>
      </c>
    </row>
    <row r="14">
      <c r="F14" s="18" t="inlineStr">
        <is>
          <t>Workstream</t>
        </is>
      </c>
      <c r="G14" s="18" t="inlineStr">
        <is>
          <t>Total</t>
        </is>
      </c>
      <c r="H14" s="18" t="inlineStr">
        <is>
          <t>Done</t>
        </is>
      </c>
      <c r="I14" s="18" t="inlineStr">
        <is>
          <t>%</t>
        </is>
      </c>
    </row>
    <row r="15">
      <c r="F15" s="19" t="inlineStr">
        <is>
          <t>WS1 · Foundations</t>
        </is>
      </c>
      <c r="G15" s="9">
        <f>COUNTIF('Task Tracker'!$B$2:$B$64,"WS1")</f>
        <v/>
      </c>
      <c r="H15" s="9">
        <f>COUNTIFS('Task Tracker'!$B$2:$B$64,"WS1",'Task Tracker'!$K$2:$K$64,"Done")</f>
        <v/>
      </c>
      <c r="I15" s="10">
        <f>IFERROR(H15/G15,0)</f>
        <v/>
      </c>
    </row>
    <row r="16">
      <c r="F16" s="19" t="inlineStr">
        <is>
          <t>WS2 · Capture</t>
        </is>
      </c>
      <c r="G16" s="9">
        <f>COUNTIF('Task Tracker'!$B$2:$B$64,"WS2")</f>
        <v/>
      </c>
      <c r="H16" s="9">
        <f>COUNTIFS('Task Tracker'!$B$2:$B$64,"WS2",'Task Tracker'!$K$2:$K$64,"Done")</f>
        <v/>
      </c>
      <c r="I16" s="10">
        <f>IFERROR(H16/G16,0)</f>
        <v/>
      </c>
    </row>
    <row r="17">
      <c r="F17" s="19" t="inlineStr">
        <is>
          <t>WS3 · AI engine</t>
        </is>
      </c>
      <c r="G17" s="9">
        <f>COUNTIF('Task Tracker'!$B$2:$B$64,"WS3")</f>
        <v/>
      </c>
      <c r="H17" s="9">
        <f>COUNTIFS('Task Tracker'!$B$2:$B$64,"WS3",'Task Tracker'!$K$2:$K$64,"Done")</f>
        <v/>
      </c>
      <c r="I17" s="10">
        <f>IFERROR(H17/G17,0)</f>
        <v/>
      </c>
    </row>
    <row r="18">
      <c r="F18" s="19" t="inlineStr">
        <is>
          <t>WS4 · Review &amp; grading</t>
        </is>
      </c>
      <c r="G18" s="9">
        <f>COUNTIF('Task Tracker'!$B$2:$B$64,"WS4")</f>
        <v/>
      </c>
      <c r="H18" s="9">
        <f>COUNTIFS('Task Tracker'!$B$2:$B$64,"WS4",'Task Tracker'!$K$2:$K$64,"Done")</f>
        <v/>
      </c>
      <c r="I18" s="10">
        <f>IFERROR(H18/G18,0)</f>
        <v/>
      </c>
    </row>
    <row r="19">
      <c r="F19" s="19" t="inlineStr">
        <is>
          <t>WS5 · Records &amp; data</t>
        </is>
      </c>
      <c r="G19" s="9">
        <f>COUNTIF('Task Tracker'!$B$2:$B$64,"WS5")</f>
        <v/>
      </c>
      <c r="H19" s="9">
        <f>COUNTIFS('Task Tracker'!$B$2:$B$64,"WS5",'Task Tracker'!$K$2:$K$64,"Done")</f>
        <v/>
      </c>
      <c r="I19" s="10">
        <f>IFERROR(H19/G19,0)</f>
        <v/>
      </c>
    </row>
    <row r="20">
      <c r="F20" s="19" t="inlineStr">
        <is>
          <t>WS6 · Insight &amp; admin</t>
        </is>
      </c>
      <c r="G20" s="9">
        <f>COUNTIF('Task Tracker'!$B$2:$B$64,"WS6")</f>
        <v/>
      </c>
      <c r="H20" s="9">
        <f>COUNTIFS('Task Tracker'!$B$2:$B$64,"WS6",'Task Tracker'!$K$2:$K$64,"Done")</f>
        <v/>
      </c>
      <c r="I20" s="10">
        <f>IFERROR(H20/G20,0)</f>
        <v/>
      </c>
    </row>
    <row r="21">
      <c r="F21" s="19" t="inlineStr">
        <is>
          <t>General · Cross-cutting</t>
        </is>
      </c>
      <c r="G21" s="9">
        <f>COUNTIF('Task Tracker'!$B$2:$B$64,"General")</f>
        <v/>
      </c>
      <c r="H21" s="9">
        <f>COUNTIFS('Task Tracker'!$B$2:$B$64,"General",'Task Tracker'!$K$2:$K$64,"Done")</f>
        <v/>
      </c>
      <c r="I21" s="10">
        <f>IFERROR(H21/G21,0)</f>
        <v/>
      </c>
    </row>
  </sheetData>
  <mergeCells count="2">
    <mergeCell ref="B3:J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Status</t>
        </is>
      </c>
      <c r="B1" s="20" t="inlineStr">
        <is>
          <t>Priority</t>
        </is>
      </c>
      <c r="C1" s="20" t="inlineStr">
        <is>
          <t>Sprint</t>
        </is>
      </c>
      <c r="D1" s="20" t="inlineStr">
        <is>
          <t>Workstream</t>
        </is>
      </c>
    </row>
    <row r="2">
      <c r="A2" t="inlineStr">
        <is>
          <t>Not Started</t>
        </is>
      </c>
      <c r="B2" t="inlineStr">
        <is>
          <t>High</t>
        </is>
      </c>
      <c r="C2" t="inlineStr">
        <is>
          <t>Sprint 1</t>
        </is>
      </c>
      <c r="D2" t="inlineStr">
        <is>
          <t>WS1</t>
        </is>
      </c>
    </row>
    <row r="3">
      <c r="A3" t="inlineStr">
        <is>
          <t>In Progress</t>
        </is>
      </c>
      <c r="B3" t="inlineStr">
        <is>
          <t>Medium</t>
        </is>
      </c>
      <c r="C3" t="inlineStr">
        <is>
          <t>Sprint 2</t>
        </is>
      </c>
      <c r="D3" t="inlineStr">
        <is>
          <t>WS2</t>
        </is>
      </c>
    </row>
    <row r="4">
      <c r="A4" t="inlineStr">
        <is>
          <t>Blocked</t>
        </is>
      </c>
      <c r="B4" t="inlineStr">
        <is>
          <t>Low</t>
        </is>
      </c>
      <c r="C4" t="inlineStr">
        <is>
          <t>Sprint 3</t>
        </is>
      </c>
      <c r="D4" t="inlineStr">
        <is>
          <t>WS3</t>
        </is>
      </c>
    </row>
    <row r="5">
      <c r="A5" t="inlineStr">
        <is>
          <t>In Review</t>
        </is>
      </c>
      <c r="C5" t="inlineStr">
        <is>
          <t>Sprint 4</t>
        </is>
      </c>
      <c r="D5" t="inlineStr">
        <is>
          <t>WS4</t>
        </is>
      </c>
    </row>
    <row r="6">
      <c r="A6" t="inlineStr">
        <is>
          <t>Done</t>
        </is>
      </c>
      <c r="C6" t="inlineStr">
        <is>
          <t>Test</t>
        </is>
      </c>
      <c r="D6" t="inlineStr">
        <is>
          <t>WS5</t>
        </is>
      </c>
    </row>
    <row r="7">
      <c r="C7" t="inlineStr">
        <is>
          <t>Go-live</t>
        </is>
      </c>
      <c r="D7" t="inlineStr">
        <is>
          <t>WS6</t>
        </is>
      </c>
    </row>
    <row r="8">
      <c r="D8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46" customWidth="1" min="4" max="4"/>
    <col width="10" customWidth="1" min="5" max="5"/>
    <col width="10" customWidth="1" min="6" max="6"/>
    <col width="16" customWidth="1" min="7" max="7"/>
    <col width="9" customWidth="1" min="8" max="8"/>
    <col width="12" customWidth="1" min="9" max="9"/>
    <col width="12" customWidth="1" min="10" max="10"/>
    <col width="13" customWidth="1" min="11" max="11"/>
    <col width="11" customWidth="1" min="12" max="12"/>
    <col width="34" customWidth="1" min="13" max="13"/>
  </cols>
  <sheetData>
    <row r="1" ht="26" customHeight="1">
      <c r="A1" s="21" t="inlineStr">
        <is>
          <t>Task ID</t>
        </is>
      </c>
      <c r="B1" s="21" t="inlineStr">
        <is>
          <t>Workstream</t>
        </is>
      </c>
      <c r="C1" s="21" t="inlineStr">
        <is>
          <t>Deliverable</t>
        </is>
      </c>
      <c r="D1" s="21" t="inlineStr">
        <is>
          <t>Task</t>
        </is>
      </c>
      <c r="E1" s="21" t="inlineStr">
        <is>
          <t>Sprint</t>
        </is>
      </c>
      <c r="F1" s="21" t="inlineStr">
        <is>
          <t>Priority</t>
        </is>
      </c>
      <c r="G1" s="21" t="inlineStr">
        <is>
          <t>Assignee</t>
        </is>
      </c>
      <c r="H1" s="21" t="inlineStr">
        <is>
          <t>Est (days)</t>
        </is>
      </c>
      <c r="I1" s="21" t="inlineStr">
        <is>
          <t>Start</t>
        </is>
      </c>
      <c r="J1" s="21" t="inlineStr">
        <is>
          <t>Due</t>
        </is>
      </c>
      <c r="K1" s="21" t="inlineStr">
        <is>
          <t>Status</t>
        </is>
      </c>
      <c r="L1" s="21" t="inlineStr">
        <is>
          <t>% Complete</t>
        </is>
      </c>
      <c r="M1" s="21" t="inlineStr">
        <is>
          <t>Notes / blockers</t>
        </is>
      </c>
    </row>
    <row r="2" ht="30" customHeight="1">
      <c r="A2" s="22" t="inlineStr">
        <is>
          <t>T-001</t>
        </is>
      </c>
      <c r="B2" s="23" t="inlineStr">
        <is>
          <t>General</t>
        </is>
      </c>
      <c r="C2" s="23" t="inlineStr">
        <is>
          <t>—</t>
        </is>
      </c>
      <c r="D2" s="24" t="inlineStr">
        <is>
          <t>Repo scaffolding, monorepo &amp; coding standards</t>
        </is>
      </c>
      <c r="E2" s="23" t="inlineStr">
        <is>
          <t>Sprint 1</t>
        </is>
      </c>
      <c r="F2" s="23" t="inlineStr">
        <is>
          <t>High</t>
        </is>
      </c>
      <c r="G2" s="25" t="inlineStr">
        <is>
          <t>e.g. Dev name</t>
        </is>
      </c>
      <c r="H2" s="23" t="n">
        <v>1</v>
      </c>
      <c r="I2" s="26" t="n">
        <v>46238</v>
      </c>
      <c r="J2" s="26" t="n">
        <v>46239</v>
      </c>
      <c r="K2" s="23" t="inlineStr">
        <is>
          <t>In Progress</t>
        </is>
      </c>
      <c r="L2" s="27" t="n">
        <v>0.6</v>
      </c>
      <c r="M2" s="24" t="inlineStr"/>
    </row>
    <row r="3" ht="30" customHeight="1">
      <c r="A3" s="22" t="inlineStr">
        <is>
          <t>T-002</t>
        </is>
      </c>
      <c r="B3" s="23" t="inlineStr">
        <is>
          <t>General</t>
        </is>
      </c>
      <c r="C3" s="23" t="inlineStr">
        <is>
          <t>—</t>
        </is>
      </c>
      <c r="D3" s="24" t="inlineStr">
        <is>
          <t>CI/CD pipeline (GitHub Actions) + SCA/SAST/secret scan</t>
        </is>
      </c>
      <c r="E3" s="23" t="inlineStr">
        <is>
          <t>Sprint 1</t>
        </is>
      </c>
      <c r="F3" s="23" t="inlineStr">
        <is>
          <t>High</t>
        </is>
      </c>
      <c r="G3" s="24" t="inlineStr"/>
      <c r="H3" s="23" t="n">
        <v>2</v>
      </c>
      <c r="I3" s="26" t="inlineStr"/>
      <c r="J3" s="26" t="inlineStr"/>
      <c r="K3" s="23" t="inlineStr">
        <is>
          <t>Not Started</t>
        </is>
      </c>
      <c r="L3" s="27" t="n">
        <v>0</v>
      </c>
      <c r="M3" s="24" t="inlineStr"/>
    </row>
    <row r="4" ht="30" customHeight="1">
      <c r="A4" s="22" t="inlineStr">
        <is>
          <t>T-003</t>
        </is>
      </c>
      <c r="B4" s="23" t="inlineStr">
        <is>
          <t>General</t>
        </is>
      </c>
      <c r="C4" s="23" t="inlineStr">
        <is>
          <t>—</t>
        </is>
      </c>
      <c r="D4" s="24" t="inlineStr">
        <is>
          <t>Terraform: staging &amp; production environments</t>
        </is>
      </c>
      <c r="E4" s="23" t="inlineStr">
        <is>
          <t>Sprint 1</t>
        </is>
      </c>
      <c r="F4" s="23" t="inlineStr">
        <is>
          <t>High</t>
        </is>
      </c>
      <c r="G4" s="24" t="inlineStr"/>
      <c r="H4" s="23" t="n">
        <v>2</v>
      </c>
      <c r="I4" s="26" t="inlineStr"/>
      <c r="J4" s="26" t="inlineStr"/>
      <c r="K4" s="23" t="inlineStr">
        <is>
          <t>Not Started</t>
        </is>
      </c>
      <c r="L4" s="27" t="n">
        <v>0</v>
      </c>
      <c r="M4" s="24" t="inlineStr"/>
    </row>
    <row r="5" ht="30" customHeight="1">
      <c r="A5" s="22" t="inlineStr">
        <is>
          <t>T-004</t>
        </is>
      </c>
      <c r="B5" s="23" t="inlineStr">
        <is>
          <t>WS1</t>
        </is>
      </c>
      <c r="C5" s="23" t="inlineStr">
        <is>
          <t>D-05</t>
        </is>
      </c>
      <c r="D5" s="24" t="inlineStr">
        <is>
          <t>Design tokens + component library</t>
        </is>
      </c>
      <c r="E5" s="23" t="inlineStr">
        <is>
          <t>Sprint 1</t>
        </is>
      </c>
      <c r="F5" s="23" t="inlineStr">
        <is>
          <t>High</t>
        </is>
      </c>
      <c r="G5" s="24" t="inlineStr"/>
      <c r="H5" s="23" t="n">
        <v>3</v>
      </c>
      <c r="I5" s="26" t="inlineStr"/>
      <c r="J5" s="26" t="inlineStr"/>
      <c r="K5" s="23" t="inlineStr">
        <is>
          <t>Not Started</t>
        </is>
      </c>
      <c r="L5" s="27" t="n">
        <v>0</v>
      </c>
      <c r="M5" s="24" t="inlineStr"/>
    </row>
    <row r="6" ht="30" customHeight="1">
      <c r="A6" s="22" t="inlineStr">
        <is>
          <t>T-005</t>
        </is>
      </c>
      <c r="B6" s="23" t="inlineStr">
        <is>
          <t>WS1</t>
        </is>
      </c>
      <c r="C6" s="23" t="inlineStr">
        <is>
          <t>D-05</t>
        </is>
      </c>
      <c r="D6" s="24" t="inlineStr">
        <is>
          <t>App shell, navigation &amp; layouts (3 surfaces)</t>
        </is>
      </c>
      <c r="E6" s="23" t="inlineStr">
        <is>
          <t>Sprint 1</t>
        </is>
      </c>
      <c r="F6" s="23" t="inlineStr">
        <is>
          <t>High</t>
        </is>
      </c>
      <c r="G6" s="24" t="inlineStr"/>
      <c r="H6" s="23" t="n">
        <v>2</v>
      </c>
      <c r="I6" s="26" t="inlineStr"/>
      <c r="J6" s="26" t="inlineStr"/>
      <c r="K6" s="23" t="inlineStr">
        <is>
          <t>Not Started</t>
        </is>
      </c>
      <c r="L6" s="27" t="n">
        <v>0</v>
      </c>
      <c r="M6" s="24" t="inlineStr"/>
    </row>
    <row r="7" ht="30" customHeight="1">
      <c r="A7" s="22" t="inlineStr">
        <is>
          <t>T-006</t>
        </is>
      </c>
      <c r="B7" s="23" t="inlineStr">
        <is>
          <t>WS1</t>
        </is>
      </c>
      <c r="C7" s="23" t="inlineStr">
        <is>
          <t>D-01</t>
        </is>
      </c>
      <c r="D7" s="24" t="inlineStr">
        <is>
          <t>Email/password auth + optional 2FA</t>
        </is>
      </c>
      <c r="E7" s="23" t="inlineStr">
        <is>
          <t>Sprint 1</t>
        </is>
      </c>
      <c r="F7" s="23" t="inlineStr">
        <is>
          <t>High</t>
        </is>
      </c>
      <c r="G7" s="24" t="inlineStr"/>
      <c r="H7" s="23" t="n">
        <v>2</v>
      </c>
      <c r="I7" s="26" t="inlineStr"/>
      <c r="J7" s="26" t="inlineStr"/>
      <c r="K7" s="23" t="inlineStr">
        <is>
          <t>Not Started</t>
        </is>
      </c>
      <c r="L7" s="27" t="n">
        <v>0</v>
      </c>
      <c r="M7" s="24" t="inlineStr"/>
    </row>
    <row r="8" ht="30" customHeight="1">
      <c r="A8" s="22" t="inlineStr">
        <is>
          <t>T-007</t>
        </is>
      </c>
      <c r="B8" s="23" t="inlineStr">
        <is>
          <t>WS1</t>
        </is>
      </c>
      <c r="C8" s="23" t="inlineStr">
        <is>
          <t>D-01</t>
        </is>
      </c>
      <c r="D8" s="24" t="inlineStr">
        <is>
          <t>Enterprise SSO (SAML/OIDC) + rotating JWT</t>
        </is>
      </c>
      <c r="E8" s="23" t="inlineStr">
        <is>
          <t>Sprint 1</t>
        </is>
      </c>
      <c r="F8" s="23" t="inlineStr">
        <is>
          <t>High</t>
        </is>
      </c>
      <c r="G8" s="24" t="inlineStr"/>
      <c r="H8" s="23" t="n">
        <v>2</v>
      </c>
      <c r="I8" s="26" t="inlineStr"/>
      <c r="J8" s="26" t="inlineStr"/>
      <c r="K8" s="23" t="inlineStr">
        <is>
          <t>Not Started</t>
        </is>
      </c>
      <c r="L8" s="27" t="n">
        <v>0</v>
      </c>
      <c r="M8" s="24" t="inlineStr"/>
    </row>
    <row r="9" ht="30" customHeight="1">
      <c r="A9" s="22" t="inlineStr">
        <is>
          <t>T-008</t>
        </is>
      </c>
      <c r="B9" s="23" t="inlineStr">
        <is>
          <t>WS1</t>
        </is>
      </c>
      <c r="C9" s="23" t="inlineStr">
        <is>
          <t>D-02</t>
        </is>
      </c>
      <c r="D9" s="24" t="inlineStr">
        <is>
          <t>Role model + permission matrix (server-side)</t>
        </is>
      </c>
      <c r="E9" s="23" t="inlineStr">
        <is>
          <t>Sprint 1</t>
        </is>
      </c>
      <c r="F9" s="23" t="inlineStr">
        <is>
          <t>High</t>
        </is>
      </c>
      <c r="G9" s="24" t="inlineStr"/>
      <c r="H9" s="23" t="n">
        <v>2</v>
      </c>
      <c r="I9" s="26" t="inlineStr"/>
      <c r="J9" s="26" t="inlineStr"/>
      <c r="K9" s="23" t="inlineStr">
        <is>
          <t>Not Started</t>
        </is>
      </c>
      <c r="L9" s="27" t="n">
        <v>0</v>
      </c>
      <c r="M9" s="24" t="inlineStr"/>
    </row>
    <row r="10" ht="30" customHeight="1">
      <c r="A10" s="22" t="inlineStr">
        <is>
          <t>T-009</t>
        </is>
      </c>
      <c r="B10" s="23" t="inlineStr">
        <is>
          <t>WS1</t>
        </is>
      </c>
      <c r="C10" s="23" t="inlineStr">
        <is>
          <t>D-02</t>
        </is>
      </c>
      <c r="D10" s="24" t="inlineStr">
        <is>
          <t>Per-role permission test suite</t>
        </is>
      </c>
      <c r="E10" s="23" t="inlineStr">
        <is>
          <t>Sprint 1</t>
        </is>
      </c>
      <c r="F10" s="23" t="inlineStr">
        <is>
          <t>Medium</t>
        </is>
      </c>
      <c r="G10" s="24" t="inlineStr"/>
      <c r="H10" s="23" t="n">
        <v>1</v>
      </c>
      <c r="I10" s="26" t="inlineStr"/>
      <c r="J10" s="26" t="inlineStr"/>
      <c r="K10" s="23" t="inlineStr">
        <is>
          <t>Not Started</t>
        </is>
      </c>
      <c r="L10" s="27" t="n">
        <v>0</v>
      </c>
      <c r="M10" s="24" t="inlineStr"/>
    </row>
    <row r="11" ht="30" customHeight="1">
      <c r="A11" s="22" t="inlineStr">
        <is>
          <t>T-010</t>
        </is>
      </c>
      <c r="B11" s="23" t="inlineStr">
        <is>
          <t>WS1</t>
        </is>
      </c>
      <c r="C11" s="23" t="inlineStr">
        <is>
          <t>D-03</t>
        </is>
      </c>
      <c r="D11" s="24" t="inlineStr">
        <is>
          <t>Postgres schema + migrations</t>
        </is>
      </c>
      <c r="E11" s="23" t="inlineStr">
        <is>
          <t>Sprint 1</t>
        </is>
      </c>
      <c r="F11" s="23" t="inlineStr">
        <is>
          <t>High</t>
        </is>
      </c>
      <c r="G11" s="24" t="inlineStr"/>
      <c r="H11" s="23" t="n">
        <v>2</v>
      </c>
      <c r="I11" s="26" t="inlineStr"/>
      <c r="J11" s="26" t="inlineStr"/>
      <c r="K11" s="23" t="inlineStr">
        <is>
          <t>Not Started</t>
        </is>
      </c>
      <c r="L11" s="27" t="n">
        <v>0</v>
      </c>
      <c r="M11" s="24" t="inlineStr"/>
    </row>
    <row r="12" ht="30" customHeight="1">
      <c r="A12" s="22" t="inlineStr">
        <is>
          <t>T-011</t>
        </is>
      </c>
      <c r="B12" s="23" t="inlineStr">
        <is>
          <t>WS1</t>
        </is>
      </c>
      <c r="C12" s="23" t="inlineStr">
        <is>
          <t>D-03</t>
        </is>
      </c>
      <c r="D12" s="24" t="inlineStr">
        <is>
          <t>Row-level security (multi-tenant isolation)</t>
        </is>
      </c>
      <c r="E12" s="23" t="inlineStr">
        <is>
          <t>Sprint 1</t>
        </is>
      </c>
      <c r="F12" s="23" t="inlineStr">
        <is>
          <t>High</t>
        </is>
      </c>
      <c r="G12" s="24" t="inlineStr"/>
      <c r="H12" s="23" t="n">
        <v>2</v>
      </c>
      <c r="I12" s="26" t="inlineStr"/>
      <c r="J12" s="26" t="inlineStr"/>
      <c r="K12" s="23" t="inlineStr">
        <is>
          <t>Not Started</t>
        </is>
      </c>
      <c r="L12" s="27" t="n">
        <v>0</v>
      </c>
      <c r="M12" s="24" t="inlineStr"/>
    </row>
    <row r="13" ht="30" customHeight="1">
      <c r="A13" s="22" t="inlineStr">
        <is>
          <t>T-012</t>
        </is>
      </c>
      <c r="B13" s="23" t="inlineStr">
        <is>
          <t>WS1</t>
        </is>
      </c>
      <c r="C13" s="23" t="inlineStr">
        <is>
          <t>D-04</t>
        </is>
      </c>
      <c r="D13" s="24" t="inlineStr">
        <is>
          <t>Station kiosk sessions (device tokens, idle lock, switch)</t>
        </is>
      </c>
      <c r="E13" s="23" t="inlineStr">
        <is>
          <t>Sprint 1</t>
        </is>
      </c>
      <c r="F13" s="23" t="inlineStr">
        <is>
          <t>Medium</t>
        </is>
      </c>
      <c r="G13" s="24" t="inlineStr"/>
      <c r="H13" s="23" t="n">
        <v>2</v>
      </c>
      <c r="I13" s="26" t="inlineStr"/>
      <c r="J13" s="26" t="inlineStr"/>
      <c r="K13" s="23" t="inlineStr">
        <is>
          <t>Not Started</t>
        </is>
      </c>
      <c r="L13" s="27" t="n">
        <v>0</v>
      </c>
      <c r="M13" s="24" t="inlineStr"/>
    </row>
    <row r="14" ht="30" customHeight="1">
      <c r="A14" s="22" t="inlineStr">
        <is>
          <t>T-013</t>
        </is>
      </c>
      <c r="B14" s="23" t="inlineStr">
        <is>
          <t>WS2</t>
        </is>
      </c>
      <c r="C14" s="23" t="inlineStr">
        <is>
          <t>D-06</t>
        </is>
      </c>
      <c r="D14" s="24" t="inlineStr">
        <is>
          <t>Six-state guided capture workflow UI</t>
        </is>
      </c>
      <c r="E14" s="23" t="inlineStr">
        <is>
          <t>Sprint 2</t>
        </is>
      </c>
      <c r="F14" s="23" t="inlineStr">
        <is>
          <t>High</t>
        </is>
      </c>
      <c r="G14" s="24" t="inlineStr"/>
      <c r="H14" s="23" t="n">
        <v>3</v>
      </c>
      <c r="I14" s="26" t="inlineStr"/>
      <c r="J14" s="26" t="inlineStr"/>
      <c r="K14" s="23" t="inlineStr">
        <is>
          <t>Not Started</t>
        </is>
      </c>
      <c r="L14" s="27" t="n">
        <v>0</v>
      </c>
      <c r="M14" s="24" t="inlineStr"/>
    </row>
    <row r="15" ht="30" customHeight="1">
      <c r="A15" s="22" t="inlineStr">
        <is>
          <t>T-014</t>
        </is>
      </c>
      <c r="B15" s="23" t="inlineStr">
        <is>
          <t>WS2</t>
        </is>
      </c>
      <c r="C15" s="23" t="inlineStr">
        <is>
          <t>D-07</t>
        </is>
      </c>
      <c r="D15" s="24" t="inlineStr">
        <is>
          <t>Barcode/QR scan + OCR service-tag reading</t>
        </is>
      </c>
      <c r="E15" s="23" t="inlineStr">
        <is>
          <t>Sprint 2</t>
        </is>
      </c>
      <c r="F15" s="23" t="inlineStr">
        <is>
          <t>High</t>
        </is>
      </c>
      <c r="G15" s="24" t="inlineStr"/>
      <c r="H15" s="23" t="n">
        <v>2</v>
      </c>
      <c r="I15" s="26" t="inlineStr"/>
      <c r="J15" s="26" t="inlineStr"/>
      <c r="K15" s="23" t="inlineStr">
        <is>
          <t>Not Started</t>
        </is>
      </c>
      <c r="L15" s="27" t="n">
        <v>0</v>
      </c>
      <c r="M15" s="24" t="inlineStr"/>
    </row>
    <row r="16" ht="30" customHeight="1">
      <c r="A16" s="22" t="inlineStr">
        <is>
          <t>T-015</t>
        </is>
      </c>
      <c r="B16" s="23" t="inlineStr">
        <is>
          <t>WS2</t>
        </is>
      </c>
      <c r="C16" s="23" t="inlineStr">
        <is>
          <t>D-07</t>
        </is>
      </c>
      <c r="D16" s="24" t="inlineStr">
        <is>
          <t>Device lookup (model / spec / history / warranty)</t>
        </is>
      </c>
      <c r="E16" s="23" t="inlineStr">
        <is>
          <t>Sprint 2</t>
        </is>
      </c>
      <c r="F16" s="23" t="inlineStr">
        <is>
          <t>Medium</t>
        </is>
      </c>
      <c r="G16" s="24" t="inlineStr"/>
      <c r="H16" s="23" t="n">
        <v>1</v>
      </c>
      <c r="I16" s="26" t="inlineStr"/>
      <c r="J16" s="26" t="inlineStr"/>
      <c r="K16" s="23" t="inlineStr">
        <is>
          <t>Not Started</t>
        </is>
      </c>
      <c r="L16" s="27" t="n">
        <v>0</v>
      </c>
      <c r="M16" s="24" t="inlineStr"/>
    </row>
    <row r="17" ht="30" customHeight="1">
      <c r="A17" s="22" t="inlineStr">
        <is>
          <t>T-016</t>
        </is>
      </c>
      <c r="B17" s="23" t="inlineStr">
        <is>
          <t>WS2</t>
        </is>
      </c>
      <c r="C17" s="23" t="inlineStr">
        <is>
          <t>D-08</t>
        </is>
      </c>
      <c r="D17" s="24" t="inlineStr">
        <is>
          <t>Camera controller integration (6-camera trigger)</t>
        </is>
      </c>
      <c r="E17" s="23" t="inlineStr">
        <is>
          <t>Sprint 2</t>
        </is>
      </c>
      <c r="F17" s="23" t="inlineStr">
        <is>
          <t>High</t>
        </is>
      </c>
      <c r="G17" s="24" t="inlineStr"/>
      <c r="H17" s="23" t="n">
        <v>3</v>
      </c>
      <c r="I17" s="26" t="inlineStr"/>
      <c r="J17" s="26" t="inlineStr"/>
      <c r="K17" s="23" t="inlineStr">
        <is>
          <t>Not Started</t>
        </is>
      </c>
      <c r="L17" s="27" t="n">
        <v>0</v>
      </c>
      <c r="M17" s="24" t="inlineStr"/>
    </row>
    <row r="18" ht="30" customHeight="1">
      <c r="A18" s="22" t="inlineStr">
        <is>
          <t>T-017</t>
        </is>
      </c>
      <c r="B18" s="23" t="inlineStr">
        <is>
          <t>WS2</t>
        </is>
      </c>
      <c r="C18" s="23" t="inlineStr">
        <is>
          <t>D-08</t>
        </is>
      </c>
      <c r="D18" s="24" t="inlineStr">
        <is>
          <t>Focus/exposure validation + per-angle retake</t>
        </is>
      </c>
      <c r="E18" s="23" t="inlineStr">
        <is>
          <t>Sprint 2</t>
        </is>
      </c>
      <c r="F18" s="23" t="inlineStr">
        <is>
          <t>Medium</t>
        </is>
      </c>
      <c r="G18" s="24" t="inlineStr"/>
      <c r="H18" s="23" t="n">
        <v>2</v>
      </c>
      <c r="I18" s="26" t="inlineStr"/>
      <c r="J18" s="26" t="inlineStr"/>
      <c r="K18" s="23" t="inlineStr">
        <is>
          <t>Not Started</t>
        </is>
      </c>
      <c r="L18" s="27" t="n">
        <v>0</v>
      </c>
      <c r="M18" s="24" t="inlineStr"/>
    </row>
    <row r="19" ht="30" customHeight="1">
      <c r="A19" s="22" t="inlineStr">
        <is>
          <t>T-018</t>
        </is>
      </c>
      <c r="B19" s="23" t="inlineStr">
        <is>
          <t>WS2</t>
        </is>
      </c>
      <c r="C19" s="23" t="inlineStr">
        <is>
          <t>D-08</t>
        </is>
      </c>
      <c r="D19" s="24" t="inlineStr">
        <is>
          <t>Presigned image uploads to object storage</t>
        </is>
      </c>
      <c r="E19" s="23" t="inlineStr">
        <is>
          <t>Sprint 2</t>
        </is>
      </c>
      <c r="F19" s="23" t="inlineStr">
        <is>
          <t>High</t>
        </is>
      </c>
      <c r="G19" s="24" t="inlineStr"/>
      <c r="H19" s="23" t="n">
        <v>1</v>
      </c>
      <c r="I19" s="26" t="inlineStr"/>
      <c r="J19" s="26" t="inlineStr"/>
      <c r="K19" s="23" t="inlineStr">
        <is>
          <t>Not Started</t>
        </is>
      </c>
      <c r="L19" s="27" t="n">
        <v>0</v>
      </c>
      <c r="M19" s="24" t="inlineStr"/>
    </row>
    <row r="20" ht="30" customHeight="1">
      <c r="A20" s="22" t="inlineStr">
        <is>
          <t>T-019</t>
        </is>
      </c>
      <c r="B20" s="23" t="inlineStr">
        <is>
          <t>WS2</t>
        </is>
      </c>
      <c r="C20" s="23" t="inlineStr">
        <is>
          <t>D-09</t>
        </is>
      </c>
      <c r="D20" s="24" t="inlineStr">
        <is>
          <t>Offline capture queue + reconnect sync</t>
        </is>
      </c>
      <c r="E20" s="23" t="inlineStr">
        <is>
          <t>Sprint 2</t>
        </is>
      </c>
      <c r="F20" s="23" t="inlineStr">
        <is>
          <t>Medium</t>
        </is>
      </c>
      <c r="G20" s="24" t="inlineStr"/>
      <c r="H20" s="23" t="n">
        <v>2</v>
      </c>
      <c r="I20" s="26" t="inlineStr"/>
      <c r="J20" s="26" t="inlineStr"/>
      <c r="K20" s="23" t="inlineStr">
        <is>
          <t>Not Started</t>
        </is>
      </c>
      <c r="L20" s="27" t="n">
        <v>0</v>
      </c>
      <c r="M20" s="24" t="inlineStr"/>
    </row>
    <row r="21" ht="30" customHeight="1">
      <c r="A21" s="22" t="inlineStr">
        <is>
          <t>T-020</t>
        </is>
      </c>
      <c r="B21" s="23" t="inlineStr">
        <is>
          <t>WS2</t>
        </is>
      </c>
      <c r="C21" s="23" t="inlineStr">
        <is>
          <t>—</t>
        </is>
      </c>
      <c r="D21" s="24" t="inlineStr">
        <is>
          <t>Live station status over WebSocket</t>
        </is>
      </c>
      <c r="E21" s="23" t="inlineStr">
        <is>
          <t>Sprint 2</t>
        </is>
      </c>
      <c r="F21" s="23" t="inlineStr">
        <is>
          <t>Medium</t>
        </is>
      </c>
      <c r="G21" s="24" t="inlineStr"/>
      <c r="H21" s="23" t="n">
        <v>1</v>
      </c>
      <c r="I21" s="26" t="inlineStr"/>
      <c r="J21" s="26" t="inlineStr"/>
      <c r="K21" s="23" t="inlineStr">
        <is>
          <t>Not Started</t>
        </is>
      </c>
      <c r="L21" s="27" t="n">
        <v>0</v>
      </c>
      <c r="M21" s="24" t="inlineStr"/>
    </row>
    <row r="22" ht="30" customHeight="1">
      <c r="A22" s="22" t="inlineStr">
        <is>
          <t>T-021</t>
        </is>
      </c>
      <c r="B22" s="23" t="inlineStr">
        <is>
          <t>WS3</t>
        </is>
      </c>
      <c r="C22" s="23" t="inlineStr">
        <is>
          <t>D-10</t>
        </is>
      </c>
      <c r="D22" s="24" t="inlineStr">
        <is>
          <t>Defect taxonomy definition + sign-off</t>
        </is>
      </c>
      <c r="E22" s="23" t="inlineStr">
        <is>
          <t>Sprint 2</t>
        </is>
      </c>
      <c r="F22" s="23" t="inlineStr">
        <is>
          <t>High</t>
        </is>
      </c>
      <c r="G22" s="24" t="inlineStr"/>
      <c r="H22" s="23" t="n">
        <v>1</v>
      </c>
      <c r="I22" s="26" t="inlineStr"/>
      <c r="J22" s="26" t="inlineStr"/>
      <c r="K22" s="23" t="inlineStr">
        <is>
          <t>Not Started</t>
        </is>
      </c>
      <c r="L22" s="27" t="n">
        <v>0</v>
      </c>
      <c r="M22" s="24" t="inlineStr"/>
    </row>
    <row r="23" ht="30" customHeight="1">
      <c r="A23" s="22" t="inlineStr">
        <is>
          <t>T-022</t>
        </is>
      </c>
      <c r="B23" s="23" t="inlineStr">
        <is>
          <t>WS3</t>
        </is>
      </c>
      <c r="C23" s="23" t="inlineStr">
        <is>
          <t>—</t>
        </is>
      </c>
      <c r="D23" s="24" t="inlineStr">
        <is>
          <t>Training-data labelling pipeline</t>
        </is>
      </c>
      <c r="E23" s="23" t="inlineStr">
        <is>
          <t>Sprint 2</t>
        </is>
      </c>
      <c r="F23" s="23" t="inlineStr">
        <is>
          <t>High</t>
        </is>
      </c>
      <c r="G23" s="24" t="inlineStr"/>
      <c r="H23" s="23" t="n">
        <v>2</v>
      </c>
      <c r="I23" s="26" t="inlineStr"/>
      <c r="J23" s="26" t="inlineStr"/>
      <c r="K23" s="23" t="inlineStr">
        <is>
          <t>Not Started</t>
        </is>
      </c>
      <c r="L23" s="27" t="n">
        <v>0</v>
      </c>
      <c r="M23" s="24" t="inlineStr"/>
    </row>
    <row r="24" ht="30" customHeight="1">
      <c r="A24" s="22" t="inlineStr">
        <is>
          <t>T-023</t>
        </is>
      </c>
      <c r="B24" s="23" t="inlineStr">
        <is>
          <t>WS3</t>
        </is>
      </c>
      <c r="C24" s="23" t="inlineStr">
        <is>
          <t>D-11</t>
        </is>
      </c>
      <c r="D24" s="24" t="inlineStr">
        <is>
          <t>Fine-tune detection model (v1)</t>
        </is>
      </c>
      <c r="E24" s="23" t="inlineStr">
        <is>
          <t>Sprint 2</t>
        </is>
      </c>
      <c r="F24" s="23" t="inlineStr">
        <is>
          <t>High</t>
        </is>
      </c>
      <c r="G24" s="24" t="inlineStr"/>
      <c r="H24" s="23" t="n">
        <v>3</v>
      </c>
      <c r="I24" s="26" t="inlineStr"/>
      <c r="J24" s="26" t="inlineStr"/>
      <c r="K24" s="23" t="inlineStr">
        <is>
          <t>Not Started</t>
        </is>
      </c>
      <c r="L24" s="27" t="n">
        <v>0</v>
      </c>
      <c r="M24" s="24" t="inlineStr"/>
    </row>
    <row r="25" ht="30" customHeight="1">
      <c r="A25" s="22" t="inlineStr">
        <is>
          <t>T-024</t>
        </is>
      </c>
      <c r="B25" s="23" t="inlineStr">
        <is>
          <t>WS3</t>
        </is>
      </c>
      <c r="C25" s="23" t="inlineStr">
        <is>
          <t>D-12</t>
        </is>
      </c>
      <c r="D25" s="24" t="inlineStr">
        <is>
          <t>Inference service (FastAPI + ONNX/TensorRT)</t>
        </is>
      </c>
      <c r="E25" s="23" t="inlineStr">
        <is>
          <t>Sprint 2</t>
        </is>
      </c>
      <c r="F25" s="23" t="inlineStr">
        <is>
          <t>High</t>
        </is>
      </c>
      <c r="G25" s="24" t="inlineStr"/>
      <c r="H25" s="23" t="n">
        <v>3</v>
      </c>
      <c r="I25" s="26" t="inlineStr"/>
      <c r="J25" s="26" t="inlineStr"/>
      <c r="K25" s="23" t="inlineStr">
        <is>
          <t>Not Started</t>
        </is>
      </c>
      <c r="L25" s="27" t="n">
        <v>0</v>
      </c>
      <c r="M25" s="24" t="inlineStr"/>
    </row>
    <row r="26" ht="30" customHeight="1">
      <c r="A26" s="22" t="inlineStr">
        <is>
          <t>T-025</t>
        </is>
      </c>
      <c r="B26" s="23" t="inlineStr">
        <is>
          <t>WS3</t>
        </is>
      </c>
      <c r="C26" s="23" t="inlineStr">
        <is>
          <t>D-12</t>
        </is>
      </c>
      <c r="D26" s="24" t="inlineStr">
        <is>
          <t>Confidence thresholds + auto-escalation</t>
        </is>
      </c>
      <c r="E26" s="23" t="inlineStr">
        <is>
          <t>Sprint 2</t>
        </is>
      </c>
      <c r="F26" s="23" t="inlineStr">
        <is>
          <t>Medium</t>
        </is>
      </c>
      <c r="G26" s="24" t="inlineStr"/>
      <c r="H26" s="23" t="n">
        <v>1</v>
      </c>
      <c r="I26" s="26" t="inlineStr"/>
      <c r="J26" s="26" t="inlineStr"/>
      <c r="K26" s="23" t="inlineStr">
        <is>
          <t>Not Started</t>
        </is>
      </c>
      <c r="L26" s="27" t="n">
        <v>0</v>
      </c>
      <c r="M26" s="24" t="inlineStr"/>
    </row>
    <row r="27" ht="30" customHeight="1">
      <c r="A27" s="22" t="inlineStr">
        <is>
          <t>T-026</t>
        </is>
      </c>
      <c r="B27" s="23" t="inlineStr">
        <is>
          <t>WS3</t>
        </is>
      </c>
      <c r="C27" s="23" t="inlineStr">
        <is>
          <t>D-11</t>
        </is>
      </c>
      <c r="D27" s="24" t="inlineStr">
        <is>
          <t>Detection storage (region / severity / heat map)</t>
        </is>
      </c>
      <c r="E27" s="23" t="inlineStr">
        <is>
          <t>Sprint 2</t>
        </is>
      </c>
      <c r="F27" s="23" t="inlineStr">
        <is>
          <t>High</t>
        </is>
      </c>
      <c r="G27" s="24" t="inlineStr"/>
      <c r="H27" s="23" t="n">
        <v>2</v>
      </c>
      <c r="I27" s="26" t="inlineStr"/>
      <c r="J27" s="26" t="inlineStr"/>
      <c r="K27" s="23" t="inlineStr">
        <is>
          <t>Not Started</t>
        </is>
      </c>
      <c r="L27" s="27" t="n">
        <v>0</v>
      </c>
      <c r="M27" s="24" t="inlineStr"/>
    </row>
    <row r="28" ht="30" customHeight="1">
      <c r="A28" s="22" t="inlineStr">
        <is>
          <t>T-027</t>
        </is>
      </c>
      <c r="B28" s="23" t="inlineStr">
        <is>
          <t>WS3</t>
        </is>
      </c>
      <c r="C28" s="23" t="inlineStr">
        <is>
          <t>—</t>
        </is>
      </c>
      <c r="D28" s="24" t="inlineStr">
        <is>
          <t>Inference job queue (Redis + BullMQ)</t>
        </is>
      </c>
      <c r="E28" s="23" t="inlineStr">
        <is>
          <t>Sprint 2</t>
        </is>
      </c>
      <c r="F28" s="23" t="inlineStr">
        <is>
          <t>High</t>
        </is>
      </c>
      <c r="G28" s="24" t="inlineStr"/>
      <c r="H28" s="23" t="n">
        <v>1</v>
      </c>
      <c r="I28" s="26" t="inlineStr"/>
      <c r="J28" s="26" t="inlineStr"/>
      <c r="K28" s="23" t="inlineStr">
        <is>
          <t>Not Started</t>
        </is>
      </c>
      <c r="L28" s="27" t="n">
        <v>0</v>
      </c>
      <c r="M28" s="24" t="inlineStr"/>
    </row>
    <row r="29" ht="30" customHeight="1">
      <c r="A29" s="22" t="inlineStr">
        <is>
          <t>T-028</t>
        </is>
      </c>
      <c r="B29" s="23" t="inlineStr">
        <is>
          <t>WS3</t>
        </is>
      </c>
      <c r="C29" s="23" t="inlineStr">
        <is>
          <t>D-13</t>
        </is>
      </c>
      <c r="D29" s="24" t="inlineStr">
        <is>
          <t>Model versioning + result stamping</t>
        </is>
      </c>
      <c r="E29" s="23" t="inlineStr">
        <is>
          <t>Sprint 2</t>
        </is>
      </c>
      <c r="F29" s="23" t="inlineStr">
        <is>
          <t>Medium</t>
        </is>
      </c>
      <c r="G29" s="24" t="inlineStr"/>
      <c r="H29" s="23" t="n">
        <v>1</v>
      </c>
      <c r="I29" s="26" t="inlineStr"/>
      <c r="J29" s="26" t="inlineStr"/>
      <c r="K29" s="23" t="inlineStr">
        <is>
          <t>Not Started</t>
        </is>
      </c>
      <c r="L29" s="27" t="n">
        <v>0</v>
      </c>
      <c r="M29" s="24" t="inlineStr"/>
    </row>
    <row r="30" ht="30" customHeight="1">
      <c r="A30" s="22" t="inlineStr">
        <is>
          <t>T-029</t>
        </is>
      </c>
      <c r="B30" s="23" t="inlineStr">
        <is>
          <t>WS4</t>
        </is>
      </c>
      <c r="C30" s="23" t="inlineStr">
        <is>
          <t>D-14</t>
        </is>
      </c>
      <c r="D30" s="24" t="inlineStr">
        <is>
          <t>Annotated viewer (boxes, heat map, zoom-to-defect)</t>
        </is>
      </c>
      <c r="E30" s="23" t="inlineStr">
        <is>
          <t>Sprint 3</t>
        </is>
      </c>
      <c r="F30" s="23" t="inlineStr">
        <is>
          <t>High</t>
        </is>
      </c>
      <c r="G30" s="24" t="inlineStr"/>
      <c r="H30" s="23" t="n">
        <v>3</v>
      </c>
      <c r="I30" s="26" t="inlineStr"/>
      <c r="J30" s="26" t="inlineStr"/>
      <c r="K30" s="23" t="inlineStr">
        <is>
          <t>Not Started</t>
        </is>
      </c>
      <c r="L30" s="27" t="n">
        <v>0</v>
      </c>
      <c r="M30" s="24" t="inlineStr"/>
    </row>
    <row r="31" ht="30" customHeight="1">
      <c r="A31" s="22" t="inlineStr">
        <is>
          <t>T-030</t>
        </is>
      </c>
      <c r="B31" s="23" t="inlineStr">
        <is>
          <t>WS4</t>
        </is>
      </c>
      <c r="C31" s="23" t="inlineStr">
        <is>
          <t>D-14</t>
        </is>
      </c>
      <c r="D31" s="24" t="inlineStr">
        <is>
          <t>Cursor tool: resize / draw defect regions</t>
        </is>
      </c>
      <c r="E31" s="23" t="inlineStr">
        <is>
          <t>Sprint 3</t>
        </is>
      </c>
      <c r="F31" s="23" t="inlineStr">
        <is>
          <t>High</t>
        </is>
      </c>
      <c r="G31" s="24" t="inlineStr"/>
      <c r="H31" s="23" t="n">
        <v>2</v>
      </c>
      <c r="I31" s="26" t="inlineStr"/>
      <c r="J31" s="26" t="inlineStr"/>
      <c r="K31" s="23" t="inlineStr">
        <is>
          <t>Not Started</t>
        </is>
      </c>
      <c r="L31" s="27" t="n">
        <v>0</v>
      </c>
      <c r="M31" s="24" t="inlineStr"/>
    </row>
    <row r="32" ht="30" customHeight="1">
      <c r="A32" s="22" t="inlineStr">
        <is>
          <t>T-031</t>
        </is>
      </c>
      <c r="B32" s="23" t="inlineStr">
        <is>
          <t>WS4</t>
        </is>
      </c>
      <c r="C32" s="23" t="inlineStr">
        <is>
          <t>D-15</t>
        </is>
      </c>
      <c r="D32" s="24" t="inlineStr">
        <is>
          <t>Detection management (accept/reject/reclassify/merge)</t>
        </is>
      </c>
      <c r="E32" s="23" t="inlineStr">
        <is>
          <t>Sprint 3</t>
        </is>
      </c>
      <c r="F32" s="23" t="inlineStr">
        <is>
          <t>High</t>
        </is>
      </c>
      <c r="G32" s="24" t="inlineStr"/>
      <c r="H32" s="23" t="n">
        <v>2</v>
      </c>
      <c r="I32" s="26" t="inlineStr"/>
      <c r="J32" s="26" t="inlineStr"/>
      <c r="K32" s="23" t="inlineStr">
        <is>
          <t>Not Started</t>
        </is>
      </c>
      <c r="L32" s="27" t="n">
        <v>0</v>
      </c>
      <c r="M32" s="24" t="inlineStr"/>
    </row>
    <row r="33" ht="30" customHeight="1">
      <c r="A33" s="22" t="inlineStr">
        <is>
          <t>T-032</t>
        </is>
      </c>
      <c r="B33" s="23" t="inlineStr">
        <is>
          <t>WS4</t>
        </is>
      </c>
      <c r="C33" s="23" t="inlineStr">
        <is>
          <t>D-15</t>
        </is>
      </c>
      <c r="D33" s="24" t="inlineStr">
        <is>
          <t>Low-confidence queue + supervisor routing</t>
        </is>
      </c>
      <c r="E33" s="23" t="inlineStr">
        <is>
          <t>Sprint 3</t>
        </is>
      </c>
      <c r="F33" s="23" t="inlineStr">
        <is>
          <t>Medium</t>
        </is>
      </c>
      <c r="G33" s="24" t="inlineStr"/>
      <c r="H33" s="23" t="n">
        <v>1</v>
      </c>
      <c r="I33" s="26" t="inlineStr"/>
      <c r="J33" s="26" t="inlineStr"/>
      <c r="K33" s="23" t="inlineStr">
        <is>
          <t>Not Started</t>
        </is>
      </c>
      <c r="L33" s="27" t="n">
        <v>0</v>
      </c>
      <c r="M33" s="24" t="inlineStr"/>
    </row>
    <row r="34" ht="30" customHeight="1">
      <c r="A34" s="22" t="inlineStr">
        <is>
          <t>T-033</t>
        </is>
      </c>
      <c r="B34" s="23" t="inlineStr">
        <is>
          <t>WS4</t>
        </is>
      </c>
      <c r="C34" s="23" t="inlineStr">
        <is>
          <t>D-16</t>
        </is>
      </c>
      <c r="D34" s="24" t="inlineStr">
        <is>
          <t>Grading engine (cosmetic/functional + health score)</t>
        </is>
      </c>
      <c r="E34" s="23" t="inlineStr">
        <is>
          <t>Sprint 3</t>
        </is>
      </c>
      <c r="F34" s="23" t="inlineStr">
        <is>
          <t>High</t>
        </is>
      </c>
      <c r="G34" s="24" t="inlineStr"/>
      <c r="H34" s="23" t="n">
        <v>3</v>
      </c>
      <c r="I34" s="26" t="inlineStr"/>
      <c r="J34" s="26" t="inlineStr"/>
      <c r="K34" s="23" t="inlineStr">
        <is>
          <t>Not Started</t>
        </is>
      </c>
      <c r="L34" s="27" t="n">
        <v>0</v>
      </c>
      <c r="M34" s="24" t="inlineStr"/>
    </row>
    <row r="35" ht="30" customHeight="1">
      <c r="A35" s="22" t="inlineStr">
        <is>
          <t>T-034</t>
        </is>
      </c>
      <c r="B35" s="23" t="inlineStr">
        <is>
          <t>WS4</t>
        </is>
      </c>
      <c r="C35" s="23" t="inlineStr">
        <is>
          <t>D-16</t>
        </is>
      </c>
      <c r="D35" s="24" t="inlineStr">
        <is>
          <t>Per-client grade profiles (versioned)</t>
        </is>
      </c>
      <c r="E35" s="23" t="inlineStr">
        <is>
          <t>Sprint 3</t>
        </is>
      </c>
      <c r="F35" s="23" t="inlineStr">
        <is>
          <t>High</t>
        </is>
      </c>
      <c r="G35" s="24" t="inlineStr"/>
      <c r="H35" s="23" t="n">
        <v>2</v>
      </c>
      <c r="I35" s="26" t="inlineStr"/>
      <c r="J35" s="26" t="inlineStr"/>
      <c r="K35" s="23" t="inlineStr">
        <is>
          <t>Not Started</t>
        </is>
      </c>
      <c r="L35" s="27" t="n">
        <v>0</v>
      </c>
      <c r="M35" s="24" t="inlineStr"/>
    </row>
    <row r="36" ht="30" customHeight="1">
      <c r="A36" s="22" t="inlineStr">
        <is>
          <t>T-035</t>
        </is>
      </c>
      <c r="B36" s="23" t="inlineStr">
        <is>
          <t>WS4</t>
        </is>
      </c>
      <c r="C36" s="23" t="inlineStr">
        <is>
          <t>D-17</t>
        </is>
      </c>
      <c r="D36" s="24" t="inlineStr">
        <is>
          <t>Disposition rules + supervisor override w/ reason</t>
        </is>
      </c>
      <c r="E36" s="23" t="inlineStr">
        <is>
          <t>Sprint 3</t>
        </is>
      </c>
      <c r="F36" s="23" t="inlineStr">
        <is>
          <t>Medium</t>
        </is>
      </c>
      <c r="G36" s="24" t="inlineStr"/>
      <c r="H36" s="23" t="n">
        <v>1</v>
      </c>
      <c r="I36" s="26" t="inlineStr"/>
      <c r="J36" s="26" t="inlineStr"/>
      <c r="K36" s="23" t="inlineStr">
        <is>
          <t>Not Started</t>
        </is>
      </c>
      <c r="L36" s="27" t="n">
        <v>0</v>
      </c>
      <c r="M36" s="24" t="inlineStr"/>
    </row>
    <row r="37" ht="30" customHeight="1">
      <c r="A37" s="22" t="inlineStr">
        <is>
          <t>T-036</t>
        </is>
      </c>
      <c r="B37" s="23" t="inlineStr">
        <is>
          <t>WS3</t>
        </is>
      </c>
      <c r="C37" s="23" t="inlineStr">
        <is>
          <t>D-13</t>
        </is>
      </c>
      <c r="D37" s="24" t="inlineStr">
        <is>
          <t>Retrain loop: corrections into training set</t>
        </is>
      </c>
      <c r="E37" s="23" t="inlineStr">
        <is>
          <t>Sprint 3</t>
        </is>
      </c>
      <c r="F37" s="23" t="inlineStr">
        <is>
          <t>Medium</t>
        </is>
      </c>
      <c r="G37" s="24" t="inlineStr"/>
      <c r="H37" s="23" t="n">
        <v>2</v>
      </c>
      <c r="I37" s="26" t="inlineStr"/>
      <c r="J37" s="26" t="inlineStr"/>
      <c r="K37" s="23" t="inlineStr">
        <is>
          <t>Not Started</t>
        </is>
      </c>
      <c r="L37" s="27" t="n">
        <v>0</v>
      </c>
      <c r="M37" s="24" t="inlineStr"/>
    </row>
    <row r="38" ht="30" customHeight="1">
      <c r="A38" s="22" t="inlineStr">
        <is>
          <t>T-037</t>
        </is>
      </c>
      <c r="B38" s="23" t="inlineStr">
        <is>
          <t>General</t>
        </is>
      </c>
      <c r="C38" s="23" t="inlineStr">
        <is>
          <t>—</t>
        </is>
      </c>
      <c r="D38" s="24" t="inlineStr">
        <is>
          <t>Automated regression suite (build out)</t>
        </is>
      </c>
      <c r="E38" s="23" t="inlineStr">
        <is>
          <t>Sprint 3</t>
        </is>
      </c>
      <c r="F38" s="23" t="inlineStr">
        <is>
          <t>High</t>
        </is>
      </c>
      <c r="G38" s="24" t="inlineStr"/>
      <c r="H38" s="23" t="n">
        <v>2</v>
      </c>
      <c r="I38" s="26" t="inlineStr"/>
      <c r="J38" s="26" t="inlineStr"/>
      <c r="K38" s="23" t="inlineStr">
        <is>
          <t>Not Started</t>
        </is>
      </c>
      <c r="L38" s="27" t="n">
        <v>0</v>
      </c>
      <c r="M38" s="24" t="inlineStr"/>
    </row>
    <row r="39" ht="30" customHeight="1">
      <c r="A39" s="22" t="inlineStr">
        <is>
          <t>T-038</t>
        </is>
      </c>
      <c r="B39" s="23" t="inlineStr">
        <is>
          <t>WS5</t>
        </is>
      </c>
      <c r="C39" s="23" t="inlineStr">
        <is>
          <t>D-18</t>
        </is>
      </c>
      <c r="D39" s="24" t="inlineStr">
        <is>
          <t>Inspection history grid (virtualised, 16-col)</t>
        </is>
      </c>
      <c r="E39" s="23" t="inlineStr">
        <is>
          <t>Sprint 4</t>
        </is>
      </c>
      <c r="F39" s="23" t="inlineStr">
        <is>
          <t>High</t>
        </is>
      </c>
      <c r="G39" s="24" t="inlineStr"/>
      <c r="H39" s="23" t="n">
        <v>3</v>
      </c>
      <c r="I39" s="26" t="inlineStr"/>
      <c r="J39" s="26" t="inlineStr"/>
      <c r="K39" s="23" t="inlineStr">
        <is>
          <t>Not Started</t>
        </is>
      </c>
      <c r="L39" s="27" t="n">
        <v>0</v>
      </c>
      <c r="M39" s="24" t="inlineStr"/>
    </row>
    <row r="40" ht="30" customHeight="1">
      <c r="A40" s="22" t="inlineStr">
        <is>
          <t>T-039</t>
        </is>
      </c>
      <c r="B40" s="23" t="inlineStr">
        <is>
          <t>WS5</t>
        </is>
      </c>
      <c r="C40" s="23" t="inlineStr">
        <is>
          <t>D-18</t>
        </is>
      </c>
      <c r="D40" s="24" t="inlineStr">
        <is>
          <t>Search, filters, saved presets, bulk actions</t>
        </is>
      </c>
      <c r="E40" s="23" t="inlineStr">
        <is>
          <t>Sprint 4</t>
        </is>
      </c>
      <c r="F40" s="23" t="inlineStr">
        <is>
          <t>High</t>
        </is>
      </c>
      <c r="G40" s="24" t="inlineStr"/>
      <c r="H40" s="23" t="n">
        <v>2</v>
      </c>
      <c r="I40" s="26" t="inlineStr"/>
      <c r="J40" s="26" t="inlineStr"/>
      <c r="K40" s="23" t="inlineStr">
        <is>
          <t>Not Started</t>
        </is>
      </c>
      <c r="L40" s="27" t="n">
        <v>0</v>
      </c>
      <c r="M40" s="24" t="inlineStr"/>
    </row>
    <row r="41" ht="30" customHeight="1">
      <c r="A41" s="22" t="inlineStr">
        <is>
          <t>T-040</t>
        </is>
      </c>
      <c r="B41" s="23" t="inlineStr">
        <is>
          <t>WS5</t>
        </is>
      </c>
      <c r="C41" s="23" t="inlineStr">
        <is>
          <t>D-19</t>
        </is>
      </c>
      <c r="D41" s="24" t="inlineStr">
        <is>
          <t>Inspection record tabs + full-res viewer</t>
        </is>
      </c>
      <c r="E41" s="23" t="inlineStr">
        <is>
          <t>Sprint 4</t>
        </is>
      </c>
      <c r="F41" s="23" t="inlineStr">
        <is>
          <t>High</t>
        </is>
      </c>
      <c r="G41" s="24" t="inlineStr"/>
      <c r="H41" s="23" t="n">
        <v>2</v>
      </c>
      <c r="I41" s="26" t="inlineStr"/>
      <c r="J41" s="26" t="inlineStr"/>
      <c r="K41" s="23" t="inlineStr">
        <is>
          <t>Not Started</t>
        </is>
      </c>
      <c r="L41" s="27" t="n">
        <v>0</v>
      </c>
      <c r="M41" s="24" t="inlineStr"/>
    </row>
    <row r="42" ht="30" customHeight="1">
      <c r="A42" s="22" t="inlineStr">
        <is>
          <t>T-041</t>
        </is>
      </c>
      <c r="B42" s="23" t="inlineStr">
        <is>
          <t>WS5</t>
        </is>
      </c>
      <c r="C42" s="23" t="inlineStr">
        <is>
          <t>D-19</t>
        </is>
      </c>
      <c r="D42" s="24" t="inlineStr">
        <is>
          <t>Branded PDF certificate + tamper hash + share link</t>
        </is>
      </c>
      <c r="E42" s="23" t="inlineStr">
        <is>
          <t>Sprint 4</t>
        </is>
      </c>
      <c r="F42" s="23" t="inlineStr">
        <is>
          <t>High</t>
        </is>
      </c>
      <c r="G42" s="24" t="inlineStr"/>
      <c r="H42" s="23" t="n">
        <v>2</v>
      </c>
      <c r="I42" s="26" t="inlineStr"/>
      <c r="J42" s="26" t="inlineStr"/>
      <c r="K42" s="23" t="inlineStr">
        <is>
          <t>Not Started</t>
        </is>
      </c>
      <c r="L42" s="27" t="n">
        <v>0</v>
      </c>
      <c r="M42" s="24" t="inlineStr"/>
    </row>
    <row r="43" ht="30" customHeight="1">
      <c r="A43" s="22" t="inlineStr">
        <is>
          <t>T-042</t>
        </is>
      </c>
      <c r="B43" s="23" t="inlineStr">
        <is>
          <t>WS5</t>
        </is>
      </c>
      <c r="C43" s="23" t="inlineStr">
        <is>
          <t>D-20</t>
        </is>
      </c>
      <c r="D43" s="24" t="inlineStr">
        <is>
          <t>CSV import wizard (5-step)</t>
        </is>
      </c>
      <c r="E43" s="23" t="inlineStr">
        <is>
          <t>Sprint 4</t>
        </is>
      </c>
      <c r="F43" s="23" t="inlineStr">
        <is>
          <t>Medium</t>
        </is>
      </c>
      <c r="G43" s="24" t="inlineStr"/>
      <c r="H43" s="23" t="n">
        <v>2</v>
      </c>
      <c r="I43" s="26" t="inlineStr"/>
      <c r="J43" s="26" t="inlineStr"/>
      <c r="K43" s="23" t="inlineStr">
        <is>
          <t>Not Started</t>
        </is>
      </c>
      <c r="L43" s="27" t="n">
        <v>0</v>
      </c>
      <c r="M43" s="24" t="inlineStr"/>
    </row>
    <row r="44" ht="30" customHeight="1">
      <c r="A44" s="22" t="inlineStr">
        <is>
          <t>T-043</t>
        </is>
      </c>
      <c r="B44" s="23" t="inlineStr">
        <is>
          <t>WS5</t>
        </is>
      </c>
      <c r="C44" s="23" t="inlineStr">
        <is>
          <t>D-20</t>
        </is>
      </c>
      <c r="D44" s="24" t="inlineStr">
        <is>
          <t>Exports (CSV / XLSX / PDF / JSON)</t>
        </is>
      </c>
      <c r="E44" s="23" t="inlineStr">
        <is>
          <t>Sprint 4</t>
        </is>
      </c>
      <c r="F44" s="23" t="inlineStr">
        <is>
          <t>Medium</t>
        </is>
      </c>
      <c r="G44" s="24" t="inlineStr"/>
      <c r="H44" s="23" t="n">
        <v>1</v>
      </c>
      <c r="I44" s="26" t="inlineStr"/>
      <c r="J44" s="26" t="inlineStr"/>
      <c r="K44" s="23" t="inlineStr">
        <is>
          <t>Not Started</t>
        </is>
      </c>
      <c r="L44" s="27" t="n">
        <v>0</v>
      </c>
      <c r="M44" s="24" t="inlineStr"/>
    </row>
    <row r="45" ht="30" customHeight="1">
      <c r="A45" s="22" t="inlineStr">
        <is>
          <t>T-044</t>
        </is>
      </c>
      <c r="B45" s="23" t="inlineStr">
        <is>
          <t>WS5</t>
        </is>
      </c>
      <c r="C45" s="23" t="inlineStr">
        <is>
          <t>D-21</t>
        </is>
      </c>
      <c r="D45" s="24" t="inlineStr">
        <is>
          <t>REST API + OpenAPI + signed webhooks</t>
        </is>
      </c>
      <c r="E45" s="23" t="inlineStr">
        <is>
          <t>Sprint 4</t>
        </is>
      </c>
      <c r="F45" s="23" t="inlineStr">
        <is>
          <t>High</t>
        </is>
      </c>
      <c r="G45" s="24" t="inlineStr"/>
      <c r="H45" s="23" t="n">
        <v>2</v>
      </c>
      <c r="I45" s="26" t="inlineStr"/>
      <c r="J45" s="26" t="inlineStr"/>
      <c r="K45" s="23" t="inlineStr">
        <is>
          <t>Not Started</t>
        </is>
      </c>
      <c r="L45" s="27" t="n">
        <v>0</v>
      </c>
      <c r="M45" s="24" t="inlineStr"/>
    </row>
    <row r="46" ht="30" customHeight="1">
      <c r="A46" s="22" t="inlineStr">
        <is>
          <t>T-045</t>
        </is>
      </c>
      <c r="B46" s="23" t="inlineStr">
        <is>
          <t>WS5</t>
        </is>
      </c>
      <c r="C46" s="23" t="inlineStr">
        <is>
          <t>D-21</t>
        </is>
      </c>
      <c r="D46" s="24" t="inlineStr">
        <is>
          <t>ERP/WMS connector + ZPL label printing</t>
        </is>
      </c>
      <c r="E46" s="23" t="inlineStr">
        <is>
          <t>Sprint 4</t>
        </is>
      </c>
      <c r="F46" s="23" t="inlineStr">
        <is>
          <t>Medium</t>
        </is>
      </c>
      <c r="G46" s="24" t="inlineStr"/>
      <c r="H46" s="23" t="n">
        <v>2</v>
      </c>
      <c r="I46" s="26" t="inlineStr"/>
      <c r="J46" s="26" t="inlineStr"/>
      <c r="K46" s="23" t="inlineStr">
        <is>
          <t>Not Started</t>
        </is>
      </c>
      <c r="L46" s="27" t="n">
        <v>0</v>
      </c>
      <c r="M46" s="24" t="inlineStr"/>
    </row>
    <row r="47" ht="30" customHeight="1">
      <c r="A47" s="22" t="inlineStr">
        <is>
          <t>T-046</t>
        </is>
      </c>
      <c r="B47" s="23" t="inlineStr">
        <is>
          <t>WS6</t>
        </is>
      </c>
      <c r="C47" s="23" t="inlineStr">
        <is>
          <t>D-22</t>
        </is>
      </c>
      <c r="D47" s="24" t="inlineStr">
        <is>
          <t>Dashboard &amp; live floor (tiles, KPIs, charts)</t>
        </is>
      </c>
      <c r="E47" s="23" t="inlineStr">
        <is>
          <t>Sprint 4</t>
        </is>
      </c>
      <c r="F47" s="23" t="inlineStr">
        <is>
          <t>High</t>
        </is>
      </c>
      <c r="G47" s="24" t="inlineStr"/>
      <c r="H47" s="23" t="n">
        <v>3</v>
      </c>
      <c r="I47" s="26" t="inlineStr"/>
      <c r="J47" s="26" t="inlineStr"/>
      <c r="K47" s="23" t="inlineStr">
        <is>
          <t>Not Started</t>
        </is>
      </c>
      <c r="L47" s="27" t="n">
        <v>0</v>
      </c>
      <c r="M47" s="24" t="inlineStr"/>
    </row>
    <row r="48" ht="30" customHeight="1">
      <c r="A48" s="22" t="inlineStr">
        <is>
          <t>T-047</t>
        </is>
      </c>
      <c r="B48" s="23" t="inlineStr">
        <is>
          <t>WS6</t>
        </is>
      </c>
      <c r="C48" s="23" t="inlineStr">
        <is>
          <t>D-23</t>
        </is>
      </c>
      <c r="D48" s="24" t="inlineStr">
        <is>
          <t>Analytics (throughput, grade dist, defect Pareto)</t>
        </is>
      </c>
      <c r="E48" s="23" t="inlineStr">
        <is>
          <t>Sprint 4</t>
        </is>
      </c>
      <c r="F48" s="23" t="inlineStr">
        <is>
          <t>Medium</t>
        </is>
      </c>
      <c r="G48" s="24" t="inlineStr"/>
      <c r="H48" s="23" t="n">
        <v>2</v>
      </c>
      <c r="I48" s="26" t="inlineStr"/>
      <c r="J48" s="26" t="inlineStr"/>
      <c r="K48" s="23" t="inlineStr">
        <is>
          <t>Not Started</t>
        </is>
      </c>
      <c r="L48" s="27" t="n">
        <v>0</v>
      </c>
      <c r="M48" s="24" t="inlineStr"/>
    </row>
    <row r="49" ht="30" customHeight="1">
      <c r="A49" s="22" t="inlineStr">
        <is>
          <t>T-048</t>
        </is>
      </c>
      <c r="B49" s="23" t="inlineStr">
        <is>
          <t>WS6</t>
        </is>
      </c>
      <c r="C49" s="23" t="inlineStr">
        <is>
          <t>D-24</t>
        </is>
      </c>
      <c r="D49" s="24" t="inlineStr">
        <is>
          <t>Administration (clients/users/stations/taxonomy/profiles)</t>
        </is>
      </c>
      <c r="E49" s="23" t="inlineStr">
        <is>
          <t>Sprint 4</t>
        </is>
      </c>
      <c r="F49" s="23" t="inlineStr">
        <is>
          <t>High</t>
        </is>
      </c>
      <c r="G49" s="24" t="inlineStr"/>
      <c r="H49" s="23" t="n">
        <v>3</v>
      </c>
      <c r="I49" s="26" t="inlineStr"/>
      <c r="J49" s="26" t="inlineStr"/>
      <c r="K49" s="23" t="inlineStr">
        <is>
          <t>Not Started</t>
        </is>
      </c>
      <c r="L49" s="27" t="n">
        <v>0</v>
      </c>
      <c r="M49" s="24" t="inlineStr"/>
    </row>
    <row r="50" ht="30" customHeight="1">
      <c r="A50" s="22" t="inlineStr">
        <is>
          <t>T-049</t>
        </is>
      </c>
      <c r="B50" s="23" t="inlineStr">
        <is>
          <t>WS6</t>
        </is>
      </c>
      <c r="C50" s="23" t="inlineStr">
        <is>
          <t>D-25</t>
        </is>
      </c>
      <c r="D50" s="24" t="inlineStr">
        <is>
          <t>Immutable audit log + export</t>
        </is>
      </c>
      <c r="E50" s="23" t="inlineStr">
        <is>
          <t>Sprint 4</t>
        </is>
      </c>
      <c r="F50" s="23" t="inlineStr">
        <is>
          <t>High</t>
        </is>
      </c>
      <c r="G50" s="24" t="inlineStr"/>
      <c r="H50" s="23" t="n">
        <v>2</v>
      </c>
      <c r="I50" s="26" t="inlineStr"/>
      <c r="J50" s="26" t="inlineStr"/>
      <c r="K50" s="23" t="inlineStr">
        <is>
          <t>Not Started</t>
        </is>
      </c>
      <c r="L50" s="27" t="n">
        <v>0</v>
      </c>
      <c r="M50" s="24" t="inlineStr"/>
    </row>
    <row r="51" ht="30" customHeight="1">
      <c r="A51" s="22" t="inlineStr">
        <is>
          <t>T-050</t>
        </is>
      </c>
      <c r="B51" s="23" t="inlineStr">
        <is>
          <t>WS6</t>
        </is>
      </c>
      <c r="C51" s="23" t="inlineStr">
        <is>
          <t>D-25</t>
        </is>
      </c>
      <c r="D51" s="24" t="inlineStr">
        <is>
          <t>Retention/purge + right-to-erasure + redaction</t>
        </is>
      </c>
      <c r="E51" s="23" t="inlineStr">
        <is>
          <t>Sprint 4</t>
        </is>
      </c>
      <c r="F51" s="23" t="inlineStr">
        <is>
          <t>Medium</t>
        </is>
      </c>
      <c r="G51" s="24" t="inlineStr"/>
      <c r="H51" s="23" t="n">
        <v>2</v>
      </c>
      <c r="I51" s="26" t="inlineStr"/>
      <c r="J51" s="26" t="inlineStr"/>
      <c r="K51" s="23" t="inlineStr">
        <is>
          <t>Not Started</t>
        </is>
      </c>
      <c r="L51" s="27" t="n">
        <v>0</v>
      </c>
      <c r="M51" s="24" t="inlineStr"/>
    </row>
    <row r="52" ht="30" customHeight="1">
      <c r="A52" s="22" t="inlineStr">
        <is>
          <t>T-051</t>
        </is>
      </c>
      <c r="B52" s="23" t="inlineStr">
        <is>
          <t>General</t>
        </is>
      </c>
      <c r="C52" s="23" t="inlineStr">
        <is>
          <t>—</t>
        </is>
      </c>
      <c r="D52" s="24" t="inlineStr">
        <is>
          <t>Accessibility pass (WCAG 2.2 AA)</t>
        </is>
      </c>
      <c r="E52" s="23" t="inlineStr">
        <is>
          <t>Sprint 4</t>
        </is>
      </c>
      <c r="F52" s="23" t="inlineStr">
        <is>
          <t>Medium</t>
        </is>
      </c>
      <c r="G52" s="24" t="inlineStr"/>
      <c r="H52" s="23" t="n">
        <v>2</v>
      </c>
      <c r="I52" s="26" t="inlineStr"/>
      <c r="J52" s="26" t="inlineStr"/>
      <c r="K52" s="23" t="inlineStr">
        <is>
          <t>Not Started</t>
        </is>
      </c>
      <c r="L52" s="27" t="n">
        <v>0</v>
      </c>
      <c r="M52" s="24" t="inlineStr"/>
    </row>
    <row r="53" ht="30" customHeight="1">
      <c r="A53" s="22" t="inlineStr">
        <is>
          <t>T-052</t>
        </is>
      </c>
      <c r="B53" s="23" t="inlineStr">
        <is>
          <t>General</t>
        </is>
      </c>
      <c r="C53" s="23" t="inlineStr">
        <is>
          <t>—</t>
        </is>
      </c>
      <c r="D53" s="24" t="inlineStr">
        <is>
          <t>Performance budget enforcement (LCP / INP / p95)</t>
        </is>
      </c>
      <c r="E53" s="23" t="inlineStr">
        <is>
          <t>Sprint 4</t>
        </is>
      </c>
      <c r="F53" s="23" t="inlineStr">
        <is>
          <t>Medium</t>
        </is>
      </c>
      <c r="G53" s="24" t="inlineStr"/>
      <c r="H53" s="23" t="n">
        <v>1</v>
      </c>
      <c r="I53" s="26" t="inlineStr"/>
      <c r="J53" s="26" t="inlineStr"/>
      <c r="K53" s="23" t="inlineStr">
        <is>
          <t>Not Started</t>
        </is>
      </c>
      <c r="L53" s="27" t="n">
        <v>0</v>
      </c>
      <c r="M53" s="24" t="inlineStr"/>
    </row>
    <row r="54" ht="30" customHeight="1">
      <c r="A54" s="22" t="inlineStr">
        <is>
          <t>T-053</t>
        </is>
      </c>
      <c r="B54" s="23" t="inlineStr">
        <is>
          <t>General</t>
        </is>
      </c>
      <c r="C54" s="23" t="inlineStr">
        <is>
          <t>—</t>
        </is>
      </c>
      <c r="D54" s="24" t="inlineStr">
        <is>
          <t>System integration testing (SIT)</t>
        </is>
      </c>
      <c r="E54" s="23" t="inlineStr">
        <is>
          <t>Test</t>
        </is>
      </c>
      <c r="F54" s="23" t="inlineStr">
        <is>
          <t>High</t>
        </is>
      </c>
      <c r="G54" s="24" t="inlineStr"/>
      <c r="H54" s="23" t="n">
        <v>3</v>
      </c>
      <c r="I54" s="26" t="inlineStr"/>
      <c r="J54" s="26" t="inlineStr"/>
      <c r="K54" s="23" t="inlineStr">
        <is>
          <t>Not Started</t>
        </is>
      </c>
      <c r="L54" s="27" t="n">
        <v>0</v>
      </c>
      <c r="M54" s="24" t="inlineStr"/>
    </row>
    <row r="55" ht="30" customHeight="1">
      <c r="A55" s="22" t="inlineStr">
        <is>
          <t>T-054</t>
        </is>
      </c>
      <c r="B55" s="23" t="inlineStr">
        <is>
          <t>General</t>
        </is>
      </c>
      <c r="C55" s="23" t="inlineStr">
        <is>
          <t>—</t>
        </is>
      </c>
      <c r="D55" s="24" t="inlineStr">
        <is>
          <t>Regression suite green (3 consecutive runs)</t>
        </is>
      </c>
      <c r="E55" s="23" t="inlineStr">
        <is>
          <t>Test</t>
        </is>
      </c>
      <c r="F55" s="23" t="inlineStr">
        <is>
          <t>High</t>
        </is>
      </c>
      <c r="G55" s="24" t="inlineStr"/>
      <c r="H55" s="23" t="n">
        <v>2</v>
      </c>
      <c r="I55" s="26" t="inlineStr"/>
      <c r="J55" s="26" t="inlineStr"/>
      <c r="K55" s="23" t="inlineStr">
        <is>
          <t>Not Started</t>
        </is>
      </c>
      <c r="L55" s="27" t="n">
        <v>0</v>
      </c>
      <c r="M55" s="24" t="inlineStr"/>
    </row>
    <row r="56" ht="30" customHeight="1">
      <c r="A56" s="22" t="inlineStr">
        <is>
          <t>T-055</t>
        </is>
      </c>
      <c r="B56" s="23" t="inlineStr">
        <is>
          <t>General</t>
        </is>
      </c>
      <c r="C56" s="23" t="inlineStr">
        <is>
          <t>—</t>
        </is>
      </c>
      <c r="D56" s="24" t="inlineStr">
        <is>
          <t>Data migration rehearsal + rollback drill</t>
        </is>
      </c>
      <c r="E56" s="23" t="inlineStr">
        <is>
          <t>Test</t>
        </is>
      </c>
      <c r="F56" s="23" t="inlineStr">
        <is>
          <t>Medium</t>
        </is>
      </c>
      <c r="G56" s="24" t="inlineStr"/>
      <c r="H56" s="23" t="n">
        <v>1</v>
      </c>
      <c r="I56" s="26" t="inlineStr"/>
      <c r="J56" s="26" t="inlineStr"/>
      <c r="K56" s="23" t="inlineStr">
        <is>
          <t>Not Started</t>
        </is>
      </c>
      <c r="L56" s="27" t="n">
        <v>0</v>
      </c>
      <c r="M56" s="24" t="inlineStr"/>
    </row>
    <row r="57" ht="30" customHeight="1">
      <c r="A57" s="22" t="inlineStr">
        <is>
          <t>T-056</t>
        </is>
      </c>
      <c r="B57" s="23" t="inlineStr">
        <is>
          <t>WS3</t>
        </is>
      </c>
      <c r="C57" s="23" t="inlineStr">
        <is>
          <t>—</t>
        </is>
      </c>
      <c r="D57" s="24" t="inlineStr">
        <is>
          <t>Model accuracy validation on holdout set</t>
        </is>
      </c>
      <c r="E57" s="23" t="inlineStr">
        <is>
          <t>Test</t>
        </is>
      </c>
      <c r="F57" s="23" t="inlineStr">
        <is>
          <t>High</t>
        </is>
      </c>
      <c r="G57" s="24" t="inlineStr"/>
      <c r="H57" s="23" t="n">
        <v>2</v>
      </c>
      <c r="I57" s="26" t="inlineStr"/>
      <c r="J57" s="26" t="inlineStr"/>
      <c r="K57" s="23" t="inlineStr">
        <is>
          <t>Not Started</t>
        </is>
      </c>
      <c r="L57" s="27" t="n">
        <v>0</v>
      </c>
      <c r="M57" s="24" t="inlineStr"/>
    </row>
    <row r="58" ht="30" customHeight="1">
      <c r="A58" s="22" t="inlineStr">
        <is>
          <t>T-057</t>
        </is>
      </c>
      <c r="B58" s="23" t="inlineStr">
        <is>
          <t>General</t>
        </is>
      </c>
      <c r="C58" s="23" t="inlineStr">
        <is>
          <t>—</t>
        </is>
      </c>
      <c r="D58" s="24" t="inlineStr">
        <is>
          <t>UAT support (operator / supervisor scripts)</t>
        </is>
      </c>
      <c r="E58" s="23" t="inlineStr">
        <is>
          <t>Test</t>
        </is>
      </c>
      <c r="F58" s="23" t="inlineStr">
        <is>
          <t>High</t>
        </is>
      </c>
      <c r="G58" s="24" t="inlineStr"/>
      <c r="H58" s="23" t="n">
        <v>3</v>
      </c>
      <c r="I58" s="26" t="inlineStr"/>
      <c r="J58" s="26" t="inlineStr"/>
      <c r="K58" s="23" t="inlineStr">
        <is>
          <t>Not Started</t>
        </is>
      </c>
      <c r="L58" s="27" t="n">
        <v>0</v>
      </c>
      <c r="M58" s="24" t="inlineStr"/>
    </row>
    <row r="59" ht="30" customHeight="1">
      <c r="A59" s="22" t="inlineStr">
        <is>
          <t>T-058</t>
        </is>
      </c>
      <c r="B59" s="23" t="inlineStr">
        <is>
          <t>General</t>
        </is>
      </c>
      <c r="C59" s="23" t="inlineStr">
        <is>
          <t>—</t>
        </is>
      </c>
      <c r="D59" s="24" t="inlineStr">
        <is>
          <t>Load &amp; soak testing (3x peak, 24h)</t>
        </is>
      </c>
      <c r="E59" s="23" t="inlineStr">
        <is>
          <t>Test</t>
        </is>
      </c>
      <c r="F59" s="23" t="inlineStr">
        <is>
          <t>Medium</t>
        </is>
      </c>
      <c r="G59" s="24" t="inlineStr"/>
      <c r="H59" s="23" t="n">
        <v>2</v>
      </c>
      <c r="I59" s="26" t="inlineStr"/>
      <c r="J59" s="26" t="inlineStr"/>
      <c r="K59" s="23" t="inlineStr">
        <is>
          <t>Not Started</t>
        </is>
      </c>
      <c r="L59" s="27" t="n">
        <v>0</v>
      </c>
      <c r="M59" s="24" t="inlineStr"/>
    </row>
    <row r="60" ht="30" customHeight="1">
      <c r="A60" s="22" t="inlineStr">
        <is>
          <t>T-059</t>
        </is>
      </c>
      <c r="B60" s="23" t="inlineStr">
        <is>
          <t>General</t>
        </is>
      </c>
      <c r="C60" s="23" t="inlineStr">
        <is>
          <t>—</t>
        </is>
      </c>
      <c r="D60" s="24" t="inlineStr">
        <is>
          <t>Third-party penetration test + remediation</t>
        </is>
      </c>
      <c r="E60" s="23" t="inlineStr">
        <is>
          <t>Test</t>
        </is>
      </c>
      <c r="F60" s="23" t="inlineStr">
        <is>
          <t>High</t>
        </is>
      </c>
      <c r="G60" s="24" t="inlineStr"/>
      <c r="H60" s="23" t="n">
        <v>3</v>
      </c>
      <c r="I60" s="26" t="inlineStr"/>
      <c r="J60" s="26" t="inlineStr"/>
      <c r="K60" s="23" t="inlineStr">
        <is>
          <t>Not Started</t>
        </is>
      </c>
      <c r="L60" s="27" t="n">
        <v>0</v>
      </c>
      <c r="M60" s="24" t="inlineStr"/>
    </row>
    <row r="61" ht="30" customHeight="1">
      <c r="A61" s="22" t="inlineStr">
        <is>
          <t>T-060</t>
        </is>
      </c>
      <c r="B61" s="23" t="inlineStr">
        <is>
          <t>General</t>
        </is>
      </c>
      <c r="C61" s="23" t="inlineStr">
        <is>
          <t>—</t>
        </is>
      </c>
      <c r="D61" s="24" t="inlineStr">
        <is>
          <t>Failure drills (network / GPU / storage)</t>
        </is>
      </c>
      <c r="E61" s="23" t="inlineStr">
        <is>
          <t>Test</t>
        </is>
      </c>
      <c r="F61" s="23" t="inlineStr">
        <is>
          <t>Medium</t>
        </is>
      </c>
      <c r="G61" s="24" t="inlineStr"/>
      <c r="H61" s="23" t="n">
        <v>1</v>
      </c>
      <c r="I61" s="26" t="inlineStr"/>
      <c r="J61" s="26" t="inlineStr"/>
      <c r="K61" s="23" t="inlineStr">
        <is>
          <t>Not Started</t>
        </is>
      </c>
      <c r="L61" s="27" t="n">
        <v>0</v>
      </c>
      <c r="M61" s="24" t="inlineStr"/>
    </row>
    <row r="62" ht="30" customHeight="1">
      <c r="A62" s="22" t="inlineStr">
        <is>
          <t>T-061</t>
        </is>
      </c>
      <c r="B62" s="23" t="inlineStr">
        <is>
          <t>General</t>
        </is>
      </c>
      <c r="C62" s="23" t="inlineStr">
        <is>
          <t>—</t>
        </is>
      </c>
      <c r="D62" s="24" t="inlineStr">
        <is>
          <t>Documentation (architecture, API, guides, runbooks)</t>
        </is>
      </c>
      <c r="E62" s="23" t="inlineStr">
        <is>
          <t>Test</t>
        </is>
      </c>
      <c r="F62" s="23" t="inlineStr">
        <is>
          <t>Medium</t>
        </is>
      </c>
      <c r="G62" s="24" t="inlineStr"/>
      <c r="H62" s="23" t="n">
        <v>3</v>
      </c>
      <c r="I62" s="26" t="inlineStr"/>
      <c r="J62" s="26" t="inlineStr"/>
      <c r="K62" s="23" t="inlineStr">
        <is>
          <t>Not Started</t>
        </is>
      </c>
      <c r="L62" s="27" t="n">
        <v>0</v>
      </c>
      <c r="M62" s="24" t="inlineStr"/>
    </row>
    <row r="63" ht="30" customHeight="1">
      <c r="A63" s="22" t="inlineStr">
        <is>
          <t>T-062</t>
        </is>
      </c>
      <c r="B63" s="23" t="inlineStr">
        <is>
          <t>General</t>
        </is>
      </c>
      <c r="C63" s="23" t="inlineStr">
        <is>
          <t>—</t>
        </is>
      </c>
      <c r="D63" s="24" t="inlineStr">
        <is>
          <t>Training + recorded walkthroughs</t>
        </is>
      </c>
      <c r="E63" s="23" t="inlineStr">
        <is>
          <t>Test</t>
        </is>
      </c>
      <c r="F63" s="23" t="inlineStr">
        <is>
          <t>Medium</t>
        </is>
      </c>
      <c r="G63" s="24" t="inlineStr"/>
      <c r="H63" s="23" t="n">
        <v>1</v>
      </c>
      <c r="I63" s="26" t="inlineStr"/>
      <c r="J63" s="26" t="inlineStr"/>
      <c r="K63" s="23" t="inlineStr">
        <is>
          <t>Not Started</t>
        </is>
      </c>
      <c r="L63" s="27" t="n">
        <v>0</v>
      </c>
      <c r="M63" s="24" t="inlineStr"/>
    </row>
    <row r="64" ht="30" customHeight="1">
      <c r="A64" s="22" t="inlineStr">
        <is>
          <t>T-063</t>
        </is>
      </c>
      <c r="B64" s="23" t="inlineStr">
        <is>
          <t>General</t>
        </is>
      </c>
      <c r="C64" s="23" t="inlineStr">
        <is>
          <t>—</t>
        </is>
      </c>
      <c r="D64" s="24" t="inlineStr">
        <is>
          <t>Pilot line monitoring + go-live cutover</t>
        </is>
      </c>
      <c r="E64" s="23" t="inlineStr">
        <is>
          <t>Go-live</t>
        </is>
      </c>
      <c r="F64" s="23" t="inlineStr">
        <is>
          <t>High</t>
        </is>
      </c>
      <c r="G64" s="24" t="inlineStr"/>
      <c r="H64" s="23" t="n">
        <v>3</v>
      </c>
      <c r="I64" s="26" t="inlineStr"/>
      <c r="J64" s="26" t="inlineStr"/>
      <c r="K64" s="23" t="inlineStr">
        <is>
          <t>Not Started</t>
        </is>
      </c>
      <c r="L64" s="27" t="n">
        <v>0</v>
      </c>
      <c r="M64" s="24" t="inlineStr"/>
    </row>
    <row r="66">
      <c r="A66" s="28" t="inlineStr">
        <is>
          <t>HOW TO USE</t>
        </is>
      </c>
    </row>
    <row r="67">
      <c r="A67" s="29" t="inlineStr">
        <is>
          <t>•  Fill the shaded input columns as work proceeds: Assignee, Start, Due, Status, % Complete, Notes.</t>
        </is>
      </c>
    </row>
    <row r="68">
      <c r="A68" s="29" t="inlineStr">
        <is>
          <t>•  Status &amp; Priority &amp; Sprint &amp; Workstream are dropdowns. Status colours the row; overdue Due dates turn red.</t>
        </is>
      </c>
    </row>
    <row r="69">
      <c r="A69" s="29" t="inlineStr">
        <is>
          <t>•  The Dashboard sheet totals everything automatically — no need to edit it.</t>
        </is>
      </c>
    </row>
    <row r="70">
      <c r="A70" s="29" t="inlineStr">
        <is>
          <t>•  Add a new task by copying a row; keep the Task ID unique (T-064, …).</t>
        </is>
      </c>
    </row>
  </sheetData>
  <autoFilter ref="A1:M64"/>
  <mergeCells count="4">
    <mergeCell ref="A67:M67"/>
    <mergeCell ref="A68:M68"/>
    <mergeCell ref="A69:M69"/>
    <mergeCell ref="A70:M70"/>
  </mergeCells>
  <conditionalFormatting sqref="K2:K6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"In Review"</formula>
    </cfRule>
    <cfRule type="cellIs" priority="5" operator="equal" dxfId="4">
      <formula>"Not Started"</formula>
    </cfRule>
  </conditionalFormatting>
  <conditionalFormatting sqref="J2:J64">
    <cfRule type="expression" priority="6" dxfId="5">
      <formula>AND($J2&lt;&gt;"",$J2&lt;TODAY(),$K2&lt;&gt;"Done")</formula>
    </cfRule>
  </conditionalFormatting>
  <dataValidations count="5">
    <dataValidation sqref="B2:B64" showDropDown="0" showInputMessage="0" showErrorMessage="0" allowBlank="1" type="list">
      <formula1>Lists!$D$2:$D$8</formula1>
    </dataValidation>
    <dataValidation sqref="E2:E64" showDropDown="0" showInputMessage="0" showErrorMessage="0" allowBlank="1" type="list">
      <formula1>Lists!$C$2:$C$7</formula1>
    </dataValidation>
    <dataValidation sqref="F2:F64" showDropDown="0" showInputMessage="0" showErrorMessage="0" allowBlank="1" type="list">
      <formula1>Lists!$B$2:$B$4</formula1>
    </dataValidation>
    <dataValidation sqref="K2:K64" showDropDown="0" showInputMessage="0" showErrorMessage="0" allowBlank="1" type="list">
      <formula1>Lists!$A$2:$A$6</formula1>
    </dataValidation>
    <dataValidation sqref="L2:L64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34" customWidth="1" min="8" max="8"/>
  </cols>
  <sheetData>
    <row r="1" ht="24" customHeight="1">
      <c r="A1" s="30" t="inlineStr">
        <is>
          <t>ID</t>
        </is>
      </c>
      <c r="B1" s="30" t="inlineStr">
        <is>
          <t>Milestone</t>
        </is>
      </c>
      <c r="C1" s="30" t="inlineStr">
        <is>
          <t>Target</t>
        </is>
      </c>
      <c r="D1" s="30" t="inlineStr">
        <is>
          <t>Type</t>
        </is>
      </c>
      <c r="E1" s="30" t="inlineStr">
        <is>
          <t>Payment %</t>
        </is>
      </c>
      <c r="F1" s="30" t="inlineStr">
        <is>
          <t>Status</t>
        </is>
      </c>
      <c r="G1" s="30" t="inlineStr">
        <is>
          <t>Actual date</t>
        </is>
      </c>
      <c r="H1" s="30" t="inlineStr">
        <is>
          <t>Notes</t>
        </is>
      </c>
    </row>
    <row r="2" ht="24" customHeight="1">
      <c r="A2" s="31" t="inlineStr">
        <is>
          <t>M1</t>
        </is>
      </c>
      <c r="B2" s="24" t="inlineStr">
        <is>
          <t>Foundations live</t>
        </is>
      </c>
      <c r="C2" s="23" t="inlineStr">
        <is>
          <t>End W2</t>
        </is>
      </c>
      <c r="D2" s="23" t="inlineStr">
        <is>
          <t>Demo</t>
        </is>
      </c>
      <c r="E2" s="27" t="n">
        <v>0.15</v>
      </c>
      <c r="F2" s="23" t="inlineStr">
        <is>
          <t>Pending</t>
        </is>
      </c>
      <c r="G2" s="26" t="inlineStr"/>
      <c r="H2" s="24" t="inlineStr"/>
    </row>
    <row r="3" ht="24" customHeight="1">
      <c r="A3" s="31" t="inlineStr">
        <is>
          <t>M2</t>
        </is>
      </c>
      <c r="B3" s="24" t="inlineStr">
        <is>
          <t>First device graded end to end</t>
        </is>
      </c>
      <c r="C3" s="23" t="inlineStr">
        <is>
          <t>End W4</t>
        </is>
      </c>
      <c r="D3" s="23" t="inlineStr">
        <is>
          <t>Demo</t>
        </is>
      </c>
      <c r="E3" s="27" t="n">
        <v>0.15</v>
      </c>
      <c r="F3" s="23" t="inlineStr">
        <is>
          <t>Pending</t>
        </is>
      </c>
      <c r="G3" s="26" t="inlineStr"/>
      <c r="H3" s="24" t="inlineStr"/>
    </row>
    <row r="4" ht="24" customHeight="1">
      <c r="A4" s="31" t="inlineStr">
        <is>
          <t>M3</t>
        </is>
      </c>
      <c r="B4" s="24" t="inlineStr">
        <is>
          <t>Review &amp; grading accepted</t>
        </is>
      </c>
      <c r="C4" s="23" t="inlineStr">
        <is>
          <t>End W6</t>
        </is>
      </c>
      <c r="D4" s="23" t="inlineStr">
        <is>
          <t>Demo</t>
        </is>
      </c>
      <c r="E4" s="27" t="n">
        <v>0.15</v>
      </c>
      <c r="F4" s="23" t="inlineStr">
        <is>
          <t>Pending</t>
        </is>
      </c>
      <c r="G4" s="26" t="inlineStr"/>
      <c r="H4" s="24" t="inlineStr"/>
    </row>
    <row r="5" ht="24" customHeight="1">
      <c r="A5" s="31" t="inlineStr">
        <is>
          <t>M4</t>
        </is>
      </c>
      <c r="B5" s="24" t="inlineStr">
        <is>
          <t>Feature complete · code freeze</t>
        </is>
      </c>
      <c r="C5" s="23" t="inlineStr">
        <is>
          <t>End W8</t>
        </is>
      </c>
      <c r="D5" s="23" t="inlineStr">
        <is>
          <t>Gate</t>
        </is>
      </c>
      <c r="E5" s="27" t="n">
        <v>0.2</v>
      </c>
      <c r="F5" s="23" t="inlineStr">
        <is>
          <t>Pending</t>
        </is>
      </c>
      <c r="G5" s="26" t="inlineStr"/>
      <c r="H5" s="24" t="inlineStr"/>
    </row>
    <row r="6" ht="24" customHeight="1">
      <c r="A6" s="31" t="inlineStr">
        <is>
          <t>M5</t>
        </is>
      </c>
      <c r="B6" s="24" t="inlineStr">
        <is>
          <t>UAT &amp; accuracy signed off</t>
        </is>
      </c>
      <c r="C6" s="23" t="inlineStr">
        <is>
          <t>End W10</t>
        </is>
      </c>
      <c r="D6" s="23" t="inlineStr">
        <is>
          <t>Gate</t>
        </is>
      </c>
      <c r="E6" s="27" t="n">
        <v>0.15</v>
      </c>
      <c r="F6" s="23" t="inlineStr">
        <is>
          <t>Pending</t>
        </is>
      </c>
      <c r="G6" s="26" t="inlineStr"/>
      <c r="H6" s="24" t="inlineStr"/>
    </row>
    <row r="7" ht="24" customHeight="1">
      <c r="A7" s="31" t="inlineStr">
        <is>
          <t>M6</t>
        </is>
      </c>
      <c r="B7" s="24" t="inlineStr">
        <is>
          <t>Production go-live &amp; handover</t>
        </is>
      </c>
      <c r="C7" s="23" t="inlineStr">
        <is>
          <t>End W12</t>
        </is>
      </c>
      <c r="D7" s="23" t="inlineStr">
        <is>
          <t>Gate</t>
        </is>
      </c>
      <c r="E7" s="27" t="n">
        <v>0.15</v>
      </c>
      <c r="F7" s="23" t="inlineStr">
        <is>
          <t>Pending</t>
        </is>
      </c>
      <c r="G7" s="26" t="inlineStr"/>
      <c r="H7" s="24" t="inlineStr"/>
    </row>
    <row r="8" ht="24" customHeight="1">
      <c r="A8" s="31" t="inlineStr">
        <is>
          <t>—</t>
        </is>
      </c>
      <c r="B8" s="24" t="inlineStr">
        <is>
          <t>Warranty end (final payment)</t>
        </is>
      </c>
      <c r="C8" s="23" t="inlineStr">
        <is>
          <t>+90 days</t>
        </is>
      </c>
      <c r="D8" s="23" t="inlineStr">
        <is>
          <t>—</t>
        </is>
      </c>
      <c r="E8" s="27" t="n">
        <v>0.05</v>
      </c>
      <c r="F8" s="23" t="inlineStr">
        <is>
          <t>Pending</t>
        </is>
      </c>
      <c r="G8" s="26" t="inlineStr"/>
      <c r="H8" s="24" t="inlineStr"/>
    </row>
    <row r="9">
      <c r="D9" s="32" t="inlineStr">
        <is>
          <t>Total</t>
        </is>
      </c>
      <c r="E9" s="33">
        <f>SUM(E2:E8)</f>
        <v/>
      </c>
    </row>
  </sheetData>
  <dataValidations count="1">
    <dataValidation sqref="F2:F8" showDropDown="0" showInputMessage="0" showErrorMessage="0" allowBlank="1" type="list">
      <formula1>"Pending,On track,At risk,Done"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2026-07-24T12:15:15Z</dcterms:created>
  <dcterms:modified xmlns:dcterms="http://purl.org/dc/terms/" xmlns:xsi="http://www.w3.org/2001/XMLSchema-instance" xsi:type="dcterms:W3CDTF">2026-07-24T12:15:15Z</dcterms:modified>
</cp:coreProperties>
</file>